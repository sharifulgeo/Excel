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OneDrive\Desktop\"/>
    </mc:Choice>
  </mc:AlternateContent>
  <bookViews>
    <workbookView xWindow="0" yWindow="0" windowWidth="23040" windowHeight="9192" activeTab="1"/>
  </bookViews>
  <sheets>
    <sheet name="Cases" sheetId="1" r:id="rId1"/>
    <sheet name="DMS_3Cells" sheetId="6" r:id="rId2"/>
    <sheet name="DMS_Formatted" sheetId="3" r:id="rId3"/>
    <sheet name="DMS_Separator" sheetId="5" r:id="rId4"/>
    <sheet name="DMS_Hotchpotch" sheetId="4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5" l="1"/>
  <c r="J3" i="5" s="1"/>
  <c r="K3" i="5"/>
  <c r="I4" i="5"/>
  <c r="J4" i="5" s="1"/>
  <c r="K4" i="5"/>
  <c r="I5" i="5"/>
  <c r="J5" i="5" s="1"/>
  <c r="K5" i="5"/>
  <c r="I6" i="5"/>
  <c r="K6" i="5"/>
  <c r="I7" i="5"/>
  <c r="J7" i="5" s="1"/>
  <c r="K7" i="5"/>
  <c r="I8" i="5"/>
  <c r="J8" i="5" s="1"/>
  <c r="K8" i="5"/>
  <c r="I9" i="5"/>
  <c r="J9" i="5" s="1"/>
  <c r="K9" i="5"/>
  <c r="I10" i="5"/>
  <c r="J10" i="5" s="1"/>
  <c r="K10" i="5"/>
  <c r="I11" i="5"/>
  <c r="J11" i="5" s="1"/>
  <c r="K11" i="5"/>
  <c r="I12" i="5"/>
  <c r="J12" i="5" s="1"/>
  <c r="K12" i="5"/>
  <c r="I13" i="5"/>
  <c r="J13" i="5" s="1"/>
  <c r="K13" i="5"/>
  <c r="I14" i="5"/>
  <c r="K14" i="5"/>
  <c r="I15" i="5"/>
  <c r="J15" i="5" s="1"/>
  <c r="K15" i="5"/>
  <c r="I16" i="5"/>
  <c r="J16" i="5" s="1"/>
  <c r="K16" i="5"/>
  <c r="I17" i="5"/>
  <c r="J17" i="5" s="1"/>
  <c r="K17" i="5"/>
  <c r="I18" i="5"/>
  <c r="J18" i="5" s="1"/>
  <c r="K18" i="5"/>
  <c r="I19" i="5"/>
  <c r="J19" i="5" s="1"/>
  <c r="K19" i="5"/>
  <c r="I20" i="5"/>
  <c r="J20" i="5" s="1"/>
  <c r="K20" i="5"/>
  <c r="I21" i="5"/>
  <c r="J21" i="5" s="1"/>
  <c r="K21" i="5"/>
  <c r="I22" i="5"/>
  <c r="K22" i="5"/>
  <c r="I23" i="5"/>
  <c r="J23" i="5" s="1"/>
  <c r="K23" i="5"/>
  <c r="I24" i="5"/>
  <c r="J24" i="5" s="1"/>
  <c r="K24" i="5"/>
  <c r="I25" i="5"/>
  <c r="K25" i="5"/>
  <c r="I26" i="5"/>
  <c r="J26" i="5" s="1"/>
  <c r="K26" i="5"/>
  <c r="I27" i="5"/>
  <c r="J27" i="5" s="1"/>
  <c r="K27" i="5"/>
  <c r="I28" i="5"/>
  <c r="J28" i="5" s="1"/>
  <c r="K28" i="5"/>
  <c r="I29" i="5"/>
  <c r="J29" i="5" s="1"/>
  <c r="K29" i="5"/>
  <c r="I30" i="5"/>
  <c r="K30" i="5"/>
  <c r="I31" i="5"/>
  <c r="J31" i="5" s="1"/>
  <c r="K31" i="5"/>
  <c r="I32" i="5"/>
  <c r="J32" i="5" s="1"/>
  <c r="K32" i="5"/>
  <c r="I33" i="5"/>
  <c r="J33" i="5" s="1"/>
  <c r="K33" i="5"/>
  <c r="I34" i="5"/>
  <c r="J34" i="5" s="1"/>
  <c r="K34" i="5"/>
  <c r="I35" i="5"/>
  <c r="J35" i="5" s="1"/>
  <c r="K35" i="5"/>
  <c r="I36" i="5"/>
  <c r="J36" i="5" s="1"/>
  <c r="K36" i="5"/>
  <c r="I37" i="5"/>
  <c r="J37" i="5" s="1"/>
  <c r="K37" i="5"/>
  <c r="I38" i="5"/>
  <c r="K38" i="5"/>
  <c r="I39" i="5"/>
  <c r="J39" i="5" s="1"/>
  <c r="K39" i="5"/>
  <c r="I40" i="5"/>
  <c r="J40" i="5" s="1"/>
  <c r="K40" i="5"/>
  <c r="I41" i="5"/>
  <c r="J41" i="5" s="1"/>
  <c r="K41" i="5"/>
  <c r="I42" i="5"/>
  <c r="J42" i="5" s="1"/>
  <c r="K42" i="5"/>
  <c r="I43" i="5"/>
  <c r="J43" i="5" s="1"/>
  <c r="K43" i="5"/>
  <c r="I44" i="5"/>
  <c r="J44" i="5" s="1"/>
  <c r="K44" i="5"/>
  <c r="I45" i="5"/>
  <c r="J45" i="5" s="1"/>
  <c r="K45" i="5"/>
  <c r="I46" i="5"/>
  <c r="K46" i="5"/>
  <c r="I47" i="5"/>
  <c r="J47" i="5" s="1"/>
  <c r="K47" i="5"/>
  <c r="I48" i="5"/>
  <c r="J48" i="5" s="1"/>
  <c r="K48" i="5"/>
  <c r="I49" i="5"/>
  <c r="J49" i="5" s="1"/>
  <c r="K49" i="5"/>
  <c r="I50" i="5"/>
  <c r="J50" i="5" s="1"/>
  <c r="K50" i="5"/>
  <c r="I51" i="5"/>
  <c r="J51" i="5" s="1"/>
  <c r="K51" i="5"/>
  <c r="I52" i="5"/>
  <c r="J52" i="5" s="1"/>
  <c r="K52" i="5"/>
  <c r="I53" i="5"/>
  <c r="J53" i="5" s="1"/>
  <c r="K53" i="5"/>
  <c r="I54" i="5"/>
  <c r="K54" i="5"/>
  <c r="I55" i="5"/>
  <c r="J55" i="5" s="1"/>
  <c r="K55" i="5"/>
  <c r="I56" i="5"/>
  <c r="K56" i="5"/>
  <c r="I57" i="5"/>
  <c r="J57" i="5" s="1"/>
  <c r="K57" i="5"/>
  <c r="I58" i="5"/>
  <c r="J58" i="5" s="1"/>
  <c r="K58" i="5"/>
  <c r="I59" i="5"/>
  <c r="J59" i="5" s="1"/>
  <c r="K59" i="5"/>
  <c r="I60" i="5"/>
  <c r="J60" i="5" s="1"/>
  <c r="K60" i="5"/>
  <c r="I61" i="5"/>
  <c r="J61" i="5" s="1"/>
  <c r="K61" i="5"/>
  <c r="I62" i="5"/>
  <c r="K62" i="5"/>
  <c r="I63" i="5"/>
  <c r="J63" i="5" s="1"/>
  <c r="K63" i="5"/>
  <c r="I64" i="5"/>
  <c r="J64" i="5" s="1"/>
  <c r="K64" i="5"/>
  <c r="I65" i="5"/>
  <c r="J65" i="5" s="1"/>
  <c r="K65" i="5"/>
  <c r="I66" i="5"/>
  <c r="J66" i="5" s="1"/>
  <c r="K66" i="5"/>
  <c r="I67" i="5"/>
  <c r="J67" i="5" s="1"/>
  <c r="K67" i="5"/>
  <c r="I68" i="5"/>
  <c r="J68" i="5" s="1"/>
  <c r="K68" i="5"/>
  <c r="I69" i="5"/>
  <c r="J69" i="5" s="1"/>
  <c r="K69" i="5"/>
  <c r="I70" i="5"/>
  <c r="K70" i="5"/>
  <c r="I71" i="5"/>
  <c r="J71" i="5" s="1"/>
  <c r="K71" i="5"/>
  <c r="I72" i="5"/>
  <c r="J72" i="5" s="1"/>
  <c r="K72" i="5"/>
  <c r="I73" i="5"/>
  <c r="J73" i="5" s="1"/>
  <c r="K73" i="5"/>
  <c r="I74" i="5"/>
  <c r="J74" i="5" s="1"/>
  <c r="K74" i="5"/>
  <c r="I75" i="5"/>
  <c r="J75" i="5" s="1"/>
  <c r="K75" i="5"/>
  <c r="I76" i="5"/>
  <c r="J76" i="5" s="1"/>
  <c r="K76" i="5"/>
  <c r="I77" i="5"/>
  <c r="J77" i="5" s="1"/>
  <c r="K77" i="5"/>
  <c r="I78" i="5"/>
  <c r="K78" i="5"/>
  <c r="I79" i="5"/>
  <c r="J79" i="5" s="1"/>
  <c r="K79" i="5"/>
  <c r="I80" i="5"/>
  <c r="J80" i="5" s="1"/>
  <c r="K80" i="5"/>
  <c r="I81" i="5"/>
  <c r="J81" i="5" s="1"/>
  <c r="K81" i="5"/>
  <c r="I82" i="5"/>
  <c r="J82" i="5" s="1"/>
  <c r="K82" i="5"/>
  <c r="I83" i="5"/>
  <c r="J83" i="5" s="1"/>
  <c r="K83" i="5"/>
  <c r="I84" i="5"/>
  <c r="J84" i="5" s="1"/>
  <c r="K84" i="5"/>
  <c r="I85" i="5"/>
  <c r="J85" i="5" s="1"/>
  <c r="K85" i="5"/>
  <c r="I86" i="5"/>
  <c r="K86" i="5"/>
  <c r="I87" i="5"/>
  <c r="J87" i="5" s="1"/>
  <c r="K87" i="5"/>
  <c r="I88" i="5"/>
  <c r="J88" i="5" s="1"/>
  <c r="K88" i="5"/>
  <c r="I89" i="5"/>
  <c r="K89" i="5"/>
  <c r="I90" i="5"/>
  <c r="J90" i="5" s="1"/>
  <c r="K90" i="5"/>
  <c r="I91" i="5"/>
  <c r="J91" i="5" s="1"/>
  <c r="K91" i="5"/>
  <c r="I92" i="5"/>
  <c r="J92" i="5" s="1"/>
  <c r="K92" i="5"/>
  <c r="I93" i="5"/>
  <c r="J93" i="5" s="1"/>
  <c r="K93" i="5"/>
  <c r="I94" i="5"/>
  <c r="K94" i="5"/>
  <c r="I95" i="5"/>
  <c r="J95" i="5" s="1"/>
  <c r="K95" i="5"/>
  <c r="I96" i="5"/>
  <c r="J96" i="5" s="1"/>
  <c r="K96" i="5"/>
  <c r="I97" i="5"/>
  <c r="J97" i="5" s="1"/>
  <c r="K97" i="5"/>
  <c r="I98" i="5"/>
  <c r="J98" i="5" s="1"/>
  <c r="K98" i="5"/>
  <c r="I99" i="5"/>
  <c r="J99" i="5" s="1"/>
  <c r="K99" i="5"/>
  <c r="I100" i="5"/>
  <c r="J100" i="5" s="1"/>
  <c r="K100" i="5"/>
  <c r="I101" i="5"/>
  <c r="J101" i="5" s="1"/>
  <c r="K101" i="5"/>
  <c r="I102" i="5"/>
  <c r="K102" i="5"/>
  <c r="I103" i="5"/>
  <c r="J103" i="5" s="1"/>
  <c r="K103" i="5"/>
  <c r="I104" i="5"/>
  <c r="J104" i="5" s="1"/>
  <c r="K104" i="5"/>
  <c r="I105" i="5"/>
  <c r="J105" i="5" s="1"/>
  <c r="K105" i="5"/>
  <c r="I106" i="5"/>
  <c r="J106" i="5" s="1"/>
  <c r="K106" i="5"/>
  <c r="I107" i="5"/>
  <c r="J107" i="5" s="1"/>
  <c r="K107" i="5"/>
  <c r="I108" i="5"/>
  <c r="J108" i="5" s="1"/>
  <c r="K108" i="5"/>
  <c r="I109" i="5"/>
  <c r="J109" i="5" s="1"/>
  <c r="K109" i="5"/>
  <c r="I110" i="5"/>
  <c r="K110" i="5"/>
  <c r="I111" i="5"/>
  <c r="J111" i="5" s="1"/>
  <c r="K111" i="5"/>
  <c r="I112" i="5"/>
  <c r="J112" i="5" s="1"/>
  <c r="K112" i="5"/>
  <c r="I113" i="5"/>
  <c r="J113" i="5" s="1"/>
  <c r="K113" i="5"/>
  <c r="I114" i="5"/>
  <c r="J114" i="5" s="1"/>
  <c r="K114" i="5"/>
  <c r="I115" i="5"/>
  <c r="J115" i="5" s="1"/>
  <c r="K115" i="5"/>
  <c r="I116" i="5"/>
  <c r="J116" i="5" s="1"/>
  <c r="K116" i="5"/>
  <c r="I117" i="5"/>
  <c r="J117" i="5" s="1"/>
  <c r="K117" i="5"/>
  <c r="I118" i="5"/>
  <c r="K118" i="5"/>
  <c r="I119" i="5"/>
  <c r="J119" i="5" s="1"/>
  <c r="K119" i="5"/>
  <c r="I120" i="5"/>
  <c r="J120" i="5" s="1"/>
  <c r="K120" i="5"/>
  <c r="I121" i="5"/>
  <c r="J121" i="5" s="1"/>
  <c r="K121" i="5"/>
  <c r="I122" i="5"/>
  <c r="K122" i="5"/>
  <c r="I123" i="5"/>
  <c r="J123" i="5" s="1"/>
  <c r="K123" i="5"/>
  <c r="I124" i="5"/>
  <c r="J124" i="5" s="1"/>
  <c r="K124" i="5"/>
  <c r="I125" i="5"/>
  <c r="J125" i="5" s="1"/>
  <c r="K125" i="5"/>
  <c r="I126" i="5"/>
  <c r="K126" i="5"/>
  <c r="I127" i="5"/>
  <c r="J127" i="5" s="1"/>
  <c r="K127" i="5"/>
  <c r="I128" i="5"/>
  <c r="J128" i="5" s="1"/>
  <c r="K128" i="5"/>
  <c r="I129" i="5"/>
  <c r="J129" i="5" s="1"/>
  <c r="K129" i="5"/>
  <c r="I130" i="5"/>
  <c r="J130" i="5" s="1"/>
  <c r="K130" i="5"/>
  <c r="I131" i="5"/>
  <c r="J131" i="5" s="1"/>
  <c r="K131" i="5"/>
  <c r="I132" i="5"/>
  <c r="J132" i="5" s="1"/>
  <c r="K132" i="5"/>
  <c r="I133" i="5"/>
  <c r="J133" i="5" s="1"/>
  <c r="K133" i="5"/>
  <c r="I134" i="5"/>
  <c r="K134" i="5"/>
  <c r="I135" i="5"/>
  <c r="J135" i="5" s="1"/>
  <c r="K135" i="5"/>
  <c r="I136" i="5"/>
  <c r="J136" i="5" s="1"/>
  <c r="K136" i="5"/>
  <c r="I137" i="5"/>
  <c r="J137" i="5" s="1"/>
  <c r="K137" i="5"/>
  <c r="I138" i="5"/>
  <c r="J138" i="5" s="1"/>
  <c r="K138" i="5"/>
  <c r="I139" i="5"/>
  <c r="J139" i="5" s="1"/>
  <c r="K139" i="5"/>
  <c r="I140" i="5"/>
  <c r="J140" i="5" s="1"/>
  <c r="K140" i="5"/>
  <c r="I141" i="5"/>
  <c r="J141" i="5" s="1"/>
  <c r="K141" i="5"/>
  <c r="I142" i="5"/>
  <c r="K142" i="5"/>
  <c r="I143" i="5"/>
  <c r="J143" i="5" s="1"/>
  <c r="K143" i="5"/>
  <c r="I144" i="5"/>
  <c r="K144" i="5"/>
  <c r="I145" i="5"/>
  <c r="J145" i="5" s="1"/>
  <c r="K145" i="5"/>
  <c r="I146" i="5"/>
  <c r="J146" i="5" s="1"/>
  <c r="K146" i="5"/>
  <c r="I147" i="5"/>
  <c r="J147" i="5" s="1"/>
  <c r="K147" i="5"/>
  <c r="I148" i="5"/>
  <c r="J148" i="5" s="1"/>
  <c r="K148" i="5"/>
  <c r="I149" i="5"/>
  <c r="J149" i="5" s="1"/>
  <c r="K149" i="5"/>
  <c r="I150" i="5"/>
  <c r="K150" i="5"/>
  <c r="I151" i="5"/>
  <c r="J151" i="5" s="1"/>
  <c r="K151" i="5"/>
  <c r="I152" i="5"/>
  <c r="J152" i="5" s="1"/>
  <c r="K152" i="5"/>
  <c r="I153" i="5"/>
  <c r="J153" i="5" s="1"/>
  <c r="K153" i="5"/>
  <c r="I154" i="5"/>
  <c r="J154" i="5" s="1"/>
  <c r="K154" i="5"/>
  <c r="I155" i="5"/>
  <c r="J155" i="5" s="1"/>
  <c r="K155" i="5"/>
  <c r="I156" i="5"/>
  <c r="J156" i="5" s="1"/>
  <c r="K156" i="5"/>
  <c r="I157" i="5"/>
  <c r="J157" i="5" s="1"/>
  <c r="K157" i="5"/>
  <c r="I158" i="5"/>
  <c r="K158" i="5"/>
  <c r="I159" i="5"/>
  <c r="J159" i="5" s="1"/>
  <c r="K159" i="5"/>
  <c r="I160" i="5"/>
  <c r="J160" i="5" s="1"/>
  <c r="K160" i="5"/>
  <c r="I161" i="5"/>
  <c r="K161" i="5"/>
  <c r="I162" i="5"/>
  <c r="J162" i="5" s="1"/>
  <c r="K162" i="5"/>
  <c r="I163" i="5"/>
  <c r="J163" i="5" s="1"/>
  <c r="K163" i="5"/>
  <c r="I164" i="5"/>
  <c r="J164" i="5" s="1"/>
  <c r="K164" i="5"/>
  <c r="I165" i="5"/>
  <c r="J165" i="5" s="1"/>
  <c r="K165" i="5"/>
  <c r="I166" i="5"/>
  <c r="K166" i="5"/>
  <c r="I167" i="5"/>
  <c r="J167" i="5" s="1"/>
  <c r="K167" i="5"/>
  <c r="I168" i="5"/>
  <c r="J168" i="5" s="1"/>
  <c r="K168" i="5"/>
  <c r="I169" i="5"/>
  <c r="J169" i="5" s="1"/>
  <c r="K169" i="5"/>
  <c r="I170" i="5"/>
  <c r="J170" i="5" s="1"/>
  <c r="K170" i="5"/>
  <c r="I171" i="5"/>
  <c r="J171" i="5" s="1"/>
  <c r="K171" i="5"/>
  <c r="I172" i="5"/>
  <c r="J172" i="5" s="1"/>
  <c r="K172" i="5"/>
  <c r="I173" i="5"/>
  <c r="J173" i="5" s="1"/>
  <c r="K173" i="5"/>
  <c r="I174" i="5"/>
  <c r="K174" i="5"/>
  <c r="I175" i="5"/>
  <c r="J175" i="5" s="1"/>
  <c r="K175" i="5"/>
  <c r="I176" i="5"/>
  <c r="K176" i="5"/>
  <c r="I177" i="5"/>
  <c r="J177" i="5" s="1"/>
  <c r="K177" i="5"/>
  <c r="I178" i="5"/>
  <c r="J178" i="5" s="1"/>
  <c r="K178" i="5"/>
  <c r="I179" i="5"/>
  <c r="J179" i="5" s="1"/>
  <c r="K179" i="5"/>
  <c r="I180" i="5"/>
  <c r="J180" i="5" s="1"/>
  <c r="K180" i="5"/>
  <c r="I181" i="5"/>
  <c r="J181" i="5" s="1"/>
  <c r="K181" i="5"/>
  <c r="I182" i="5"/>
  <c r="K182" i="5"/>
  <c r="I183" i="5"/>
  <c r="J183" i="5" s="1"/>
  <c r="K183" i="5"/>
  <c r="I184" i="5"/>
  <c r="J184" i="5" s="1"/>
  <c r="K184" i="5"/>
  <c r="I185" i="5"/>
  <c r="J185" i="5" s="1"/>
  <c r="K185" i="5"/>
  <c r="I186" i="5"/>
  <c r="J186" i="5" s="1"/>
  <c r="K186" i="5"/>
  <c r="I187" i="5"/>
  <c r="J187" i="5" s="1"/>
  <c r="K187" i="5"/>
  <c r="I188" i="5"/>
  <c r="J188" i="5" s="1"/>
  <c r="K188" i="5"/>
  <c r="I189" i="5"/>
  <c r="J189" i="5" s="1"/>
  <c r="K189" i="5"/>
  <c r="I190" i="5"/>
  <c r="K190" i="5"/>
  <c r="I191" i="5"/>
  <c r="J191" i="5" s="1"/>
  <c r="K191" i="5"/>
  <c r="I192" i="5"/>
  <c r="J192" i="5" s="1"/>
  <c r="K192" i="5"/>
  <c r="I193" i="5"/>
  <c r="K193" i="5"/>
  <c r="I194" i="5"/>
  <c r="J194" i="5" s="1"/>
  <c r="K194" i="5"/>
  <c r="I195" i="5"/>
  <c r="J195" i="5" s="1"/>
  <c r="K195" i="5"/>
  <c r="I196" i="5"/>
  <c r="J196" i="5" s="1"/>
  <c r="K196" i="5"/>
  <c r="I197" i="5"/>
  <c r="J197" i="5" s="1"/>
  <c r="K197" i="5"/>
  <c r="I198" i="5"/>
  <c r="J198" i="5" s="1"/>
  <c r="K198" i="5"/>
  <c r="I199" i="5"/>
  <c r="J199" i="5" s="1"/>
  <c r="K199" i="5"/>
  <c r="I200" i="5"/>
  <c r="J200" i="5" s="1"/>
  <c r="K200" i="5"/>
  <c r="I201" i="5"/>
  <c r="J201" i="5" s="1"/>
  <c r="K201" i="5"/>
  <c r="I202" i="5"/>
  <c r="J202" i="5" s="1"/>
  <c r="K202" i="5"/>
  <c r="I203" i="5"/>
  <c r="J203" i="5" s="1"/>
  <c r="K203" i="5"/>
  <c r="I204" i="5"/>
  <c r="J204" i="5" s="1"/>
  <c r="K204" i="5"/>
  <c r="I205" i="5"/>
  <c r="K205" i="5"/>
  <c r="I206" i="5"/>
  <c r="J206" i="5" s="1"/>
  <c r="K206" i="5"/>
  <c r="I207" i="5"/>
  <c r="J207" i="5" s="1"/>
  <c r="K207" i="5"/>
  <c r="I208" i="5"/>
  <c r="J208" i="5" s="1"/>
  <c r="K208" i="5"/>
  <c r="I209" i="5"/>
  <c r="K209" i="5"/>
  <c r="I210" i="5"/>
  <c r="J210" i="5" s="1"/>
  <c r="K210" i="5"/>
  <c r="I211" i="5"/>
  <c r="K211" i="5"/>
  <c r="I212" i="5"/>
  <c r="J212" i="5" s="1"/>
  <c r="K212" i="5"/>
  <c r="I213" i="5"/>
  <c r="K213" i="5"/>
  <c r="I214" i="5"/>
  <c r="K214" i="5"/>
  <c r="I215" i="5"/>
  <c r="J215" i="5" s="1"/>
  <c r="K215" i="5"/>
  <c r="I216" i="5"/>
  <c r="J216" i="5" s="1"/>
  <c r="K216" i="5"/>
  <c r="I217" i="5"/>
  <c r="J217" i="5" s="1"/>
  <c r="K217" i="5"/>
  <c r="I218" i="5"/>
  <c r="J218" i="5" s="1"/>
  <c r="K218" i="5"/>
  <c r="I219" i="5"/>
  <c r="K219" i="5"/>
  <c r="I220" i="5"/>
  <c r="J220" i="5" s="1"/>
  <c r="K220" i="5"/>
  <c r="I221" i="5"/>
  <c r="K221" i="5"/>
  <c r="I222" i="5"/>
  <c r="J222" i="5" s="1"/>
  <c r="K222" i="5"/>
  <c r="I223" i="5"/>
  <c r="J223" i="5" s="1"/>
  <c r="K223" i="5"/>
  <c r="I224" i="5"/>
  <c r="J224" i="5" s="1"/>
  <c r="K224" i="5"/>
  <c r="I225" i="5"/>
  <c r="J225" i="5" s="1"/>
  <c r="K225" i="5"/>
  <c r="I226" i="5"/>
  <c r="J226" i="5" s="1"/>
  <c r="K226" i="5"/>
  <c r="I227" i="5"/>
  <c r="J227" i="5" s="1"/>
  <c r="K227" i="5"/>
  <c r="I228" i="5"/>
  <c r="J228" i="5" s="1"/>
  <c r="K228" i="5"/>
  <c r="I229" i="5"/>
  <c r="K229" i="5"/>
  <c r="I230" i="5"/>
  <c r="J230" i="5" s="1"/>
  <c r="K230" i="5"/>
  <c r="I231" i="5"/>
  <c r="J231" i="5" s="1"/>
  <c r="K231" i="5"/>
  <c r="I232" i="5"/>
  <c r="J232" i="5" s="1"/>
  <c r="K232" i="5"/>
  <c r="I233" i="5"/>
  <c r="J233" i="5" s="1"/>
  <c r="K233" i="5"/>
  <c r="I234" i="5"/>
  <c r="J234" i="5" s="1"/>
  <c r="K234" i="5"/>
  <c r="I235" i="5"/>
  <c r="J235" i="5" s="1"/>
  <c r="K235" i="5"/>
  <c r="I236" i="5"/>
  <c r="J236" i="5" s="1"/>
  <c r="K236" i="5"/>
  <c r="I237" i="5"/>
  <c r="K237" i="5"/>
  <c r="I238" i="5"/>
  <c r="K238" i="5"/>
  <c r="I239" i="5"/>
  <c r="J239" i="5" s="1"/>
  <c r="K239" i="5"/>
  <c r="I240" i="5"/>
  <c r="J240" i="5" s="1"/>
  <c r="K240" i="5"/>
  <c r="I241" i="5"/>
  <c r="J241" i="5" s="1"/>
  <c r="K241" i="5"/>
  <c r="I242" i="5"/>
  <c r="J242" i="5" s="1"/>
  <c r="K242" i="5"/>
  <c r="I243" i="5"/>
  <c r="J243" i="5" s="1"/>
  <c r="K243" i="5"/>
  <c r="I244" i="5"/>
  <c r="J244" i="5" s="1"/>
  <c r="K244" i="5"/>
  <c r="I245" i="5"/>
  <c r="K245" i="5"/>
  <c r="I246" i="5"/>
  <c r="J246" i="5" s="1"/>
  <c r="K246" i="5"/>
  <c r="I247" i="5"/>
  <c r="J247" i="5" s="1"/>
  <c r="K247" i="5"/>
  <c r="I248" i="5"/>
  <c r="J248" i="5" s="1"/>
  <c r="K248" i="5"/>
  <c r="I249" i="5"/>
  <c r="J249" i="5" s="1"/>
  <c r="K249" i="5"/>
  <c r="I250" i="5"/>
  <c r="J250" i="5" s="1"/>
  <c r="K250" i="5"/>
  <c r="I251" i="5"/>
  <c r="J251" i="5" s="1"/>
  <c r="K251" i="5"/>
  <c r="I252" i="5"/>
  <c r="J252" i="5" s="1"/>
  <c r="K252" i="5"/>
  <c r="I253" i="5"/>
  <c r="K253" i="5"/>
  <c r="I254" i="5"/>
  <c r="J254" i="5" s="1"/>
  <c r="K254" i="5"/>
  <c r="I255" i="5"/>
  <c r="J255" i="5" s="1"/>
  <c r="K255" i="5"/>
  <c r="I256" i="5"/>
  <c r="J256" i="5" s="1"/>
  <c r="K256" i="5"/>
  <c r="I257" i="5"/>
  <c r="J257" i="5" s="1"/>
  <c r="K257" i="5"/>
  <c r="I258" i="5"/>
  <c r="J258" i="5" s="1"/>
  <c r="K258" i="5"/>
  <c r="I259" i="5"/>
  <c r="J259" i="5" s="1"/>
  <c r="K259" i="5"/>
  <c r="I260" i="5"/>
  <c r="J260" i="5" s="1"/>
  <c r="K260" i="5"/>
  <c r="I261" i="5"/>
  <c r="K261" i="5"/>
  <c r="I262" i="5"/>
  <c r="J262" i="5" s="1"/>
  <c r="K262" i="5"/>
  <c r="I263" i="5"/>
  <c r="J263" i="5" s="1"/>
  <c r="K263" i="5"/>
  <c r="I264" i="5"/>
  <c r="J264" i="5" s="1"/>
  <c r="K264" i="5"/>
  <c r="I265" i="5"/>
  <c r="J265" i="5" s="1"/>
  <c r="K265" i="5"/>
  <c r="I266" i="5"/>
  <c r="J266" i="5" s="1"/>
  <c r="K266" i="5"/>
  <c r="I267" i="5"/>
  <c r="J267" i="5" s="1"/>
  <c r="K267" i="5"/>
  <c r="I268" i="5"/>
  <c r="K268" i="5"/>
  <c r="I269" i="5"/>
  <c r="K269" i="5"/>
  <c r="I270" i="5"/>
  <c r="J270" i="5" s="1"/>
  <c r="K270" i="5"/>
  <c r="I271" i="5"/>
  <c r="J271" i="5" s="1"/>
  <c r="K271" i="5"/>
  <c r="I272" i="5"/>
  <c r="J272" i="5" s="1"/>
  <c r="K272" i="5"/>
  <c r="I273" i="5"/>
  <c r="J273" i="5" s="1"/>
  <c r="K273" i="5"/>
  <c r="I274" i="5"/>
  <c r="J274" i="5" s="1"/>
  <c r="K274" i="5"/>
  <c r="I275" i="5"/>
  <c r="J275" i="5" s="1"/>
  <c r="K275" i="5"/>
  <c r="I276" i="5"/>
  <c r="J276" i="5" s="1"/>
  <c r="K276" i="5"/>
  <c r="I277" i="5"/>
  <c r="K277" i="5"/>
  <c r="I278" i="5"/>
  <c r="J278" i="5" s="1"/>
  <c r="K278" i="5"/>
  <c r="I279" i="5"/>
  <c r="J279" i="5" s="1"/>
  <c r="K279" i="5"/>
  <c r="I280" i="5"/>
  <c r="J280" i="5" s="1"/>
  <c r="K280" i="5"/>
  <c r="I281" i="5"/>
  <c r="J281" i="5" s="1"/>
  <c r="K281" i="5"/>
  <c r="I282" i="5"/>
  <c r="J282" i="5" s="1"/>
  <c r="K282" i="5"/>
  <c r="I283" i="5"/>
  <c r="J283" i="5" s="1"/>
  <c r="K283" i="5"/>
  <c r="I284" i="5"/>
  <c r="K284" i="5"/>
  <c r="I285" i="5"/>
  <c r="K285" i="5"/>
  <c r="I286" i="5"/>
  <c r="J286" i="5" s="1"/>
  <c r="K286" i="5"/>
  <c r="I287" i="5"/>
  <c r="J287" i="5" s="1"/>
  <c r="K287" i="5"/>
  <c r="I288" i="5"/>
  <c r="J288" i="5" s="1"/>
  <c r="K288" i="5"/>
  <c r="I289" i="5"/>
  <c r="K289" i="5"/>
  <c r="I290" i="5"/>
  <c r="J290" i="5" s="1"/>
  <c r="K290" i="5"/>
  <c r="I291" i="5"/>
  <c r="J291" i="5" s="1"/>
  <c r="K291" i="5"/>
  <c r="I292" i="5"/>
  <c r="J292" i="5" s="1"/>
  <c r="K292" i="5"/>
  <c r="I293" i="5"/>
  <c r="K293" i="5"/>
  <c r="I294" i="5"/>
  <c r="J294" i="5" s="1"/>
  <c r="K294" i="5"/>
  <c r="I295" i="5"/>
  <c r="J295" i="5" s="1"/>
  <c r="K295" i="5"/>
  <c r="I296" i="5"/>
  <c r="J296" i="5" s="1"/>
  <c r="K296" i="5"/>
  <c r="I297" i="5"/>
  <c r="K297" i="5"/>
  <c r="I298" i="5"/>
  <c r="J298" i="5" s="1"/>
  <c r="K298" i="5"/>
  <c r="I299" i="5"/>
  <c r="J299" i="5" s="1"/>
  <c r="K299" i="5"/>
  <c r="I300" i="5"/>
  <c r="K300" i="5"/>
  <c r="I301" i="5"/>
  <c r="K301" i="5"/>
  <c r="I302" i="5"/>
  <c r="J302" i="5" s="1"/>
  <c r="K302" i="5"/>
  <c r="I303" i="5"/>
  <c r="J303" i="5" s="1"/>
  <c r="K303" i="5"/>
  <c r="I304" i="5"/>
  <c r="J304" i="5" s="1"/>
  <c r="K304" i="5"/>
  <c r="I305" i="5"/>
  <c r="K305" i="5"/>
  <c r="I306" i="5"/>
  <c r="J306" i="5" s="1"/>
  <c r="K306" i="5"/>
  <c r="I307" i="5"/>
  <c r="J307" i="5" s="1"/>
  <c r="K307" i="5"/>
  <c r="I308" i="5"/>
  <c r="J308" i="5" s="1"/>
  <c r="K308" i="5"/>
  <c r="I309" i="5"/>
  <c r="J309" i="5" s="1"/>
  <c r="K309" i="5"/>
  <c r="I310" i="5"/>
  <c r="J310" i="5" s="1"/>
  <c r="K310" i="5"/>
  <c r="I311" i="5"/>
  <c r="J311" i="5" s="1"/>
  <c r="K311" i="5"/>
  <c r="I312" i="5"/>
  <c r="J312" i="5" s="1"/>
  <c r="K312" i="5"/>
  <c r="I313" i="5"/>
  <c r="K313" i="5"/>
  <c r="I314" i="5"/>
  <c r="J314" i="5" s="1"/>
  <c r="K314" i="5"/>
  <c r="I315" i="5"/>
  <c r="J315" i="5" s="1"/>
  <c r="K315" i="5"/>
  <c r="I316" i="5"/>
  <c r="J316" i="5" s="1"/>
  <c r="K316" i="5"/>
  <c r="I317" i="5"/>
  <c r="J317" i="5" s="1"/>
  <c r="K317" i="5"/>
  <c r="I318" i="5"/>
  <c r="J318" i="5" s="1"/>
  <c r="K318" i="5"/>
  <c r="I319" i="5"/>
  <c r="K319" i="5"/>
  <c r="I320" i="5"/>
  <c r="J320" i="5" s="1"/>
  <c r="K320" i="5"/>
  <c r="I321" i="5"/>
  <c r="K321" i="5"/>
  <c r="I322" i="5"/>
  <c r="J322" i="5" s="1"/>
  <c r="K322" i="5"/>
  <c r="I323" i="5"/>
  <c r="J323" i="5" s="1"/>
  <c r="K323" i="5"/>
  <c r="I324" i="5"/>
  <c r="J324" i="5" s="1"/>
  <c r="K324" i="5"/>
  <c r="I325" i="5"/>
  <c r="J325" i="5" s="1"/>
  <c r="K325" i="5"/>
  <c r="I326" i="5"/>
  <c r="J326" i="5" s="1"/>
  <c r="K326" i="5"/>
  <c r="I327" i="5"/>
  <c r="K327" i="5"/>
  <c r="I328" i="5"/>
  <c r="K328" i="5"/>
  <c r="I329" i="5"/>
  <c r="K329" i="5"/>
  <c r="I330" i="5"/>
  <c r="J330" i="5" s="1"/>
  <c r="K330" i="5"/>
  <c r="I331" i="5"/>
  <c r="J331" i="5" s="1"/>
  <c r="K331" i="5"/>
  <c r="I332" i="5"/>
  <c r="J332" i="5" s="1"/>
  <c r="K332" i="5"/>
  <c r="I333" i="5"/>
  <c r="K333" i="5"/>
  <c r="I334" i="5"/>
  <c r="J334" i="5" s="1"/>
  <c r="K334" i="5"/>
  <c r="I335" i="5"/>
  <c r="K335" i="5"/>
  <c r="I336" i="5"/>
  <c r="J336" i="5" s="1"/>
  <c r="K336" i="5"/>
  <c r="I337" i="5"/>
  <c r="J337" i="5" s="1"/>
  <c r="K337" i="5"/>
  <c r="I338" i="5"/>
  <c r="J338" i="5" s="1"/>
  <c r="K338" i="5"/>
  <c r="I339" i="5"/>
  <c r="J339" i="5" s="1"/>
  <c r="K339" i="5"/>
  <c r="I340" i="5"/>
  <c r="J340" i="5" s="1"/>
  <c r="K340" i="5"/>
  <c r="I341" i="5"/>
  <c r="J341" i="5" s="1"/>
  <c r="K341" i="5"/>
  <c r="I342" i="5"/>
  <c r="K342" i="5"/>
  <c r="I343" i="5"/>
  <c r="J343" i="5" s="1"/>
  <c r="K343" i="5"/>
  <c r="I344" i="5"/>
  <c r="J344" i="5" s="1"/>
  <c r="K344" i="5"/>
  <c r="I345" i="5"/>
  <c r="J345" i="5" s="1"/>
  <c r="K345" i="5"/>
  <c r="I346" i="5"/>
  <c r="J346" i="5" s="1"/>
  <c r="K346" i="5"/>
  <c r="I347" i="5"/>
  <c r="J347" i="5" s="1"/>
  <c r="K347" i="5"/>
  <c r="I348" i="5"/>
  <c r="K348" i="5"/>
  <c r="I349" i="5"/>
  <c r="J349" i="5" s="1"/>
  <c r="K349" i="5"/>
  <c r="I350" i="5"/>
  <c r="J350" i="5" s="1"/>
  <c r="K350" i="5"/>
  <c r="I351" i="5"/>
  <c r="J351" i="5" s="1"/>
  <c r="K351" i="5"/>
  <c r="I352" i="5"/>
  <c r="J352" i="5" s="1"/>
  <c r="K352" i="5"/>
  <c r="I353" i="5"/>
  <c r="K353" i="5"/>
  <c r="I354" i="5"/>
  <c r="J354" i="5" s="1"/>
  <c r="K354" i="5"/>
  <c r="I355" i="5"/>
  <c r="J355" i="5" s="1"/>
  <c r="K355" i="5"/>
  <c r="I356" i="5"/>
  <c r="J356" i="5" s="1"/>
  <c r="K356" i="5"/>
  <c r="I357" i="5"/>
  <c r="J357" i="5" s="1"/>
  <c r="K357" i="5"/>
  <c r="I358" i="5"/>
  <c r="J358" i="5" s="1"/>
  <c r="K358" i="5"/>
  <c r="I359" i="5"/>
  <c r="J359" i="5" s="1"/>
  <c r="K359" i="5"/>
  <c r="I360" i="5"/>
  <c r="J360" i="5" s="1"/>
  <c r="K360" i="5"/>
  <c r="I361" i="5"/>
  <c r="J361" i="5" s="1"/>
  <c r="K361" i="5"/>
  <c r="I362" i="5"/>
  <c r="J362" i="5" s="1"/>
  <c r="K362" i="5"/>
  <c r="I363" i="5"/>
  <c r="J363" i="5" s="1"/>
  <c r="K363" i="5"/>
  <c r="I364" i="5"/>
  <c r="J364" i="5" s="1"/>
  <c r="K364" i="5"/>
  <c r="I365" i="5"/>
  <c r="J365" i="5" s="1"/>
  <c r="K365" i="5"/>
  <c r="I366" i="5"/>
  <c r="K366" i="5"/>
  <c r="I367" i="5"/>
  <c r="J367" i="5" s="1"/>
  <c r="K367" i="5"/>
  <c r="I368" i="5"/>
  <c r="J368" i="5" s="1"/>
  <c r="K368" i="5"/>
  <c r="I369" i="5"/>
  <c r="J369" i="5" s="1"/>
  <c r="K369" i="5"/>
  <c r="I370" i="5"/>
  <c r="J370" i="5" s="1"/>
  <c r="K370" i="5"/>
  <c r="I371" i="5"/>
  <c r="J371" i="5" s="1"/>
  <c r="K371" i="5"/>
  <c r="I372" i="5"/>
  <c r="J372" i="5" s="1"/>
  <c r="K372" i="5"/>
  <c r="I373" i="5"/>
  <c r="J373" i="5" s="1"/>
  <c r="K373" i="5"/>
  <c r="I374" i="5"/>
  <c r="K374" i="5"/>
  <c r="I375" i="5"/>
  <c r="K375" i="5"/>
  <c r="I376" i="5"/>
  <c r="J376" i="5" s="1"/>
  <c r="K376" i="5"/>
  <c r="I377" i="5"/>
  <c r="J377" i="5" s="1"/>
  <c r="K377" i="5"/>
  <c r="I378" i="5"/>
  <c r="J378" i="5" s="1"/>
  <c r="K378" i="5"/>
  <c r="I379" i="5"/>
  <c r="J379" i="5" s="1"/>
  <c r="K379" i="5"/>
  <c r="I380" i="5"/>
  <c r="J380" i="5" s="1"/>
  <c r="K380" i="5"/>
  <c r="I381" i="5"/>
  <c r="J381" i="5" s="1"/>
  <c r="K381" i="5"/>
  <c r="I382" i="5"/>
  <c r="K382" i="5"/>
  <c r="I383" i="5"/>
  <c r="J383" i="5" s="1"/>
  <c r="K383" i="5"/>
  <c r="I384" i="5"/>
  <c r="J384" i="5" s="1"/>
  <c r="K384" i="5"/>
  <c r="I385" i="5"/>
  <c r="J385" i="5" s="1"/>
  <c r="K385" i="5"/>
  <c r="I386" i="5"/>
  <c r="J386" i="5" s="1"/>
  <c r="K386" i="5"/>
  <c r="I387" i="5"/>
  <c r="J387" i="5" s="1"/>
  <c r="K387" i="5"/>
  <c r="I388" i="5"/>
  <c r="J388" i="5" s="1"/>
  <c r="K388" i="5"/>
  <c r="I389" i="5"/>
  <c r="J389" i="5" s="1"/>
  <c r="K389" i="5"/>
  <c r="I390" i="5"/>
  <c r="K390" i="5"/>
  <c r="I391" i="5"/>
  <c r="J391" i="5" s="1"/>
  <c r="K391" i="5"/>
  <c r="I392" i="5"/>
  <c r="J392" i="5" s="1"/>
  <c r="K392" i="5"/>
  <c r="I393" i="5"/>
  <c r="J393" i="5" s="1"/>
  <c r="K393" i="5"/>
  <c r="I394" i="5"/>
  <c r="J394" i="5" s="1"/>
  <c r="K394" i="5"/>
  <c r="I395" i="5"/>
  <c r="J395" i="5" s="1"/>
  <c r="K395" i="5"/>
  <c r="I396" i="5"/>
  <c r="J396" i="5" s="1"/>
  <c r="K396" i="5"/>
  <c r="I397" i="5"/>
  <c r="J397" i="5" s="1"/>
  <c r="K397" i="5"/>
  <c r="I398" i="5"/>
  <c r="K398" i="5"/>
  <c r="I399" i="5"/>
  <c r="J399" i="5" s="1"/>
  <c r="K399" i="5"/>
  <c r="I400" i="5"/>
  <c r="J400" i="5" s="1"/>
  <c r="K400" i="5"/>
  <c r="I401" i="5"/>
  <c r="J401" i="5" s="1"/>
  <c r="K401" i="5"/>
  <c r="I402" i="5"/>
  <c r="J402" i="5" s="1"/>
  <c r="K402" i="5"/>
  <c r="I403" i="5"/>
  <c r="J403" i="5" s="1"/>
  <c r="K403" i="5"/>
  <c r="I404" i="5"/>
  <c r="J404" i="5" s="1"/>
  <c r="K404" i="5"/>
  <c r="I405" i="5"/>
  <c r="J405" i="5" s="1"/>
  <c r="K405" i="5"/>
  <c r="I406" i="5"/>
  <c r="K406" i="5"/>
  <c r="I407" i="5"/>
  <c r="K407" i="5"/>
  <c r="I408" i="5"/>
  <c r="J408" i="5" s="1"/>
  <c r="K408" i="5"/>
  <c r="I409" i="5"/>
  <c r="J409" i="5" s="1"/>
  <c r="K409" i="5"/>
  <c r="I410" i="5"/>
  <c r="K410" i="5"/>
  <c r="I411" i="5"/>
  <c r="J411" i="5" s="1"/>
  <c r="K411" i="5"/>
  <c r="I412" i="5"/>
  <c r="J412" i="5" s="1"/>
  <c r="K412" i="5"/>
  <c r="I413" i="5"/>
  <c r="J413" i="5" s="1"/>
  <c r="K413" i="5"/>
  <c r="I414" i="5"/>
  <c r="K414" i="5"/>
  <c r="I415" i="5"/>
  <c r="J415" i="5" s="1"/>
  <c r="K415" i="5"/>
  <c r="I416" i="5"/>
  <c r="J416" i="5" s="1"/>
  <c r="K416" i="5"/>
  <c r="I417" i="5"/>
  <c r="J417" i="5" s="1"/>
  <c r="K417" i="5"/>
  <c r="I418" i="5"/>
  <c r="J418" i="5" s="1"/>
  <c r="K418" i="5"/>
  <c r="I419" i="5"/>
  <c r="J419" i="5" s="1"/>
  <c r="K419" i="5"/>
  <c r="I420" i="5"/>
  <c r="J420" i="5" s="1"/>
  <c r="K420" i="5"/>
  <c r="I421" i="5"/>
  <c r="J421" i="5" s="1"/>
  <c r="K421" i="5"/>
  <c r="I422" i="5"/>
  <c r="K422" i="5"/>
  <c r="I423" i="5"/>
  <c r="J423" i="5" s="1"/>
  <c r="K423" i="5"/>
  <c r="I424" i="5"/>
  <c r="J424" i="5" s="1"/>
  <c r="K424" i="5"/>
  <c r="I425" i="5"/>
  <c r="J425" i="5" s="1"/>
  <c r="K425" i="5"/>
  <c r="I426" i="5"/>
  <c r="K426" i="5"/>
  <c r="I427" i="5"/>
  <c r="J427" i="5" s="1"/>
  <c r="K427" i="5"/>
  <c r="I428" i="5"/>
  <c r="J428" i="5" s="1"/>
  <c r="K428" i="5"/>
  <c r="I429" i="5"/>
  <c r="J429" i="5" s="1"/>
  <c r="K429" i="5"/>
  <c r="I430" i="5"/>
  <c r="K430" i="5"/>
  <c r="I431" i="5"/>
  <c r="J431" i="5" s="1"/>
  <c r="K431" i="5"/>
  <c r="I432" i="5"/>
  <c r="J432" i="5" s="1"/>
  <c r="K432" i="5"/>
  <c r="I433" i="5"/>
  <c r="J433" i="5" s="1"/>
  <c r="K433" i="5"/>
  <c r="I434" i="5"/>
  <c r="J434" i="5" s="1"/>
  <c r="K434" i="5"/>
  <c r="I435" i="5"/>
  <c r="J435" i="5" s="1"/>
  <c r="K435" i="5"/>
  <c r="I436" i="5"/>
  <c r="J436" i="5" s="1"/>
  <c r="K436" i="5"/>
  <c r="I437" i="5"/>
  <c r="J437" i="5" s="1"/>
  <c r="K437" i="5"/>
  <c r="I438" i="5"/>
  <c r="K438" i="5"/>
  <c r="I439" i="5"/>
  <c r="J439" i="5" s="1"/>
  <c r="K439" i="5"/>
  <c r="I440" i="5"/>
  <c r="J440" i="5" s="1"/>
  <c r="K440" i="5"/>
  <c r="I441" i="5"/>
  <c r="J441" i="5" s="1"/>
  <c r="K441" i="5"/>
  <c r="I442" i="5"/>
  <c r="J442" i="5" s="1"/>
  <c r="K442" i="5"/>
  <c r="I443" i="5"/>
  <c r="J443" i="5" s="1"/>
  <c r="K443" i="5"/>
  <c r="I444" i="5"/>
  <c r="J444" i="5" s="1"/>
  <c r="K444" i="5"/>
  <c r="I445" i="5"/>
  <c r="J445" i="5" s="1"/>
  <c r="K445" i="5"/>
  <c r="I446" i="5"/>
  <c r="K446" i="5"/>
  <c r="I447" i="5"/>
  <c r="J447" i="5" s="1"/>
  <c r="K447" i="5"/>
  <c r="I448" i="5"/>
  <c r="K448" i="5"/>
  <c r="I449" i="5"/>
  <c r="J449" i="5" s="1"/>
  <c r="K449" i="5"/>
  <c r="I450" i="5"/>
  <c r="J450" i="5" s="1"/>
  <c r="K450" i="5"/>
  <c r="I451" i="5"/>
  <c r="J451" i="5" s="1"/>
  <c r="K451" i="5"/>
  <c r="I452" i="5"/>
  <c r="J452" i="5" s="1"/>
  <c r="K452" i="5"/>
  <c r="I453" i="5"/>
  <c r="J453" i="5" s="1"/>
  <c r="K453" i="5"/>
  <c r="I454" i="5"/>
  <c r="K454" i="5"/>
  <c r="I455" i="5"/>
  <c r="J455" i="5" s="1"/>
  <c r="K455" i="5"/>
  <c r="I456" i="5"/>
  <c r="J456" i="5" s="1"/>
  <c r="K456" i="5"/>
  <c r="I457" i="5"/>
  <c r="J457" i="5" s="1"/>
  <c r="K457" i="5"/>
  <c r="I458" i="5"/>
  <c r="J458" i="5" s="1"/>
  <c r="K458" i="5"/>
  <c r="I459" i="5"/>
  <c r="J459" i="5" s="1"/>
  <c r="K459" i="5"/>
  <c r="I460" i="5"/>
  <c r="J460" i="5" s="1"/>
  <c r="K460" i="5"/>
  <c r="I461" i="5"/>
  <c r="J461" i="5" s="1"/>
  <c r="K461" i="5"/>
  <c r="I462" i="5"/>
  <c r="K462" i="5"/>
  <c r="I463" i="5"/>
  <c r="J463" i="5" s="1"/>
  <c r="K463" i="5"/>
  <c r="I464" i="5"/>
  <c r="J464" i="5" s="1"/>
  <c r="K464" i="5"/>
  <c r="I465" i="5"/>
  <c r="J465" i="5" s="1"/>
  <c r="K465" i="5"/>
  <c r="I466" i="5"/>
  <c r="J466" i="5" s="1"/>
  <c r="K466" i="5"/>
  <c r="I467" i="5"/>
  <c r="J467" i="5" s="1"/>
  <c r="K467" i="5"/>
  <c r="I468" i="5"/>
  <c r="J468" i="5" s="1"/>
  <c r="K468" i="5"/>
  <c r="I469" i="5"/>
  <c r="J469" i="5" s="1"/>
  <c r="K469" i="5"/>
  <c r="I470" i="5"/>
  <c r="K470" i="5"/>
  <c r="I471" i="5"/>
  <c r="J471" i="5" s="1"/>
  <c r="K471" i="5"/>
  <c r="I472" i="5"/>
  <c r="J472" i="5" s="1"/>
  <c r="K472" i="5"/>
  <c r="I473" i="5"/>
  <c r="J473" i="5" s="1"/>
  <c r="K473" i="5"/>
  <c r="I474" i="5"/>
  <c r="J474" i="5" s="1"/>
  <c r="K474" i="5"/>
  <c r="I475" i="5"/>
  <c r="J475" i="5" s="1"/>
  <c r="K475" i="5"/>
  <c r="I476" i="5"/>
  <c r="J476" i="5" s="1"/>
  <c r="K476" i="5"/>
  <c r="I477" i="5"/>
  <c r="J477" i="5" s="1"/>
  <c r="K477" i="5"/>
  <c r="I478" i="5"/>
  <c r="K478" i="5"/>
  <c r="I479" i="5"/>
  <c r="J479" i="5" s="1"/>
  <c r="K479" i="5"/>
  <c r="I480" i="5"/>
  <c r="J480" i="5" s="1"/>
  <c r="K480" i="5"/>
  <c r="I481" i="5"/>
  <c r="J481" i="5" s="1"/>
  <c r="K481" i="5"/>
  <c r="I482" i="5"/>
  <c r="J482" i="5" s="1"/>
  <c r="K482" i="5"/>
  <c r="I483" i="5"/>
  <c r="J483" i="5" s="1"/>
  <c r="K483" i="5"/>
  <c r="I484" i="5"/>
  <c r="J484" i="5" s="1"/>
  <c r="K484" i="5"/>
  <c r="I485" i="5"/>
  <c r="J485" i="5" s="1"/>
  <c r="K485" i="5"/>
  <c r="I486" i="5"/>
  <c r="K486" i="5"/>
  <c r="I487" i="5"/>
  <c r="J487" i="5" s="1"/>
  <c r="K487" i="5"/>
  <c r="I488" i="5"/>
  <c r="J488" i="5" s="1"/>
  <c r="K488" i="5"/>
  <c r="I489" i="5"/>
  <c r="J489" i="5" s="1"/>
  <c r="K489" i="5"/>
  <c r="I490" i="5"/>
  <c r="J490" i="5" s="1"/>
  <c r="K490" i="5"/>
  <c r="I491" i="5"/>
  <c r="J491" i="5" s="1"/>
  <c r="K491" i="5"/>
  <c r="I492" i="5"/>
  <c r="J492" i="5" s="1"/>
  <c r="K492" i="5"/>
  <c r="I493" i="5"/>
  <c r="J493" i="5" s="1"/>
  <c r="K493" i="5"/>
  <c r="I494" i="5"/>
  <c r="K494" i="5"/>
  <c r="I495" i="5"/>
  <c r="J495" i="5" s="1"/>
  <c r="K495" i="5"/>
  <c r="B3" i="5"/>
  <c r="C3" i="5" s="1"/>
  <c r="D3" i="5"/>
  <c r="B4" i="5"/>
  <c r="D4" i="5"/>
  <c r="B5" i="5"/>
  <c r="C5" i="5" s="1"/>
  <c r="D5" i="5"/>
  <c r="B6" i="5"/>
  <c r="D6" i="5"/>
  <c r="B7" i="5"/>
  <c r="C7" i="5" s="1"/>
  <c r="D7" i="5"/>
  <c r="B8" i="5"/>
  <c r="C8" i="5" s="1"/>
  <c r="D8" i="5"/>
  <c r="B9" i="5"/>
  <c r="C9" i="5" s="1"/>
  <c r="D9" i="5"/>
  <c r="B10" i="5"/>
  <c r="C10" i="5" s="1"/>
  <c r="D10" i="5"/>
  <c r="B11" i="5"/>
  <c r="D11" i="5"/>
  <c r="B12" i="5"/>
  <c r="D12" i="5"/>
  <c r="B13" i="5"/>
  <c r="C13" i="5" s="1"/>
  <c r="D13" i="5"/>
  <c r="B14" i="5"/>
  <c r="D14" i="5"/>
  <c r="B15" i="5"/>
  <c r="D15" i="5"/>
  <c r="B16" i="5"/>
  <c r="C16" i="5" s="1"/>
  <c r="D16" i="5"/>
  <c r="B17" i="5"/>
  <c r="C17" i="5" s="1"/>
  <c r="D17" i="5"/>
  <c r="B18" i="5"/>
  <c r="C18" i="5" s="1"/>
  <c r="D18" i="5"/>
  <c r="B19" i="5"/>
  <c r="C19" i="5" s="1"/>
  <c r="D19" i="5"/>
  <c r="B20" i="5"/>
  <c r="D20" i="5"/>
  <c r="B21" i="5"/>
  <c r="C21" i="5" s="1"/>
  <c r="D21" i="5"/>
  <c r="B22" i="5"/>
  <c r="D22" i="5"/>
  <c r="B23" i="5"/>
  <c r="C23" i="5" s="1"/>
  <c r="D23" i="5"/>
  <c r="B24" i="5"/>
  <c r="C24" i="5" s="1"/>
  <c r="D24" i="5"/>
  <c r="B25" i="5"/>
  <c r="C25" i="5" s="1"/>
  <c r="D25" i="5"/>
  <c r="B26" i="5"/>
  <c r="C26" i="5" s="1"/>
  <c r="D26" i="5"/>
  <c r="B27" i="5"/>
  <c r="C27" i="5" s="1"/>
  <c r="D27" i="5"/>
  <c r="B28" i="5"/>
  <c r="D28" i="5"/>
  <c r="B29" i="5"/>
  <c r="C29" i="5" s="1"/>
  <c r="D29" i="5"/>
  <c r="B30" i="5"/>
  <c r="D30" i="5"/>
  <c r="B31" i="5"/>
  <c r="C31" i="5" s="1"/>
  <c r="D31" i="5"/>
  <c r="B32" i="5"/>
  <c r="C32" i="5" s="1"/>
  <c r="D32" i="5"/>
  <c r="B33" i="5"/>
  <c r="C33" i="5" s="1"/>
  <c r="D33" i="5"/>
  <c r="B34" i="5"/>
  <c r="C34" i="5" s="1"/>
  <c r="D34" i="5"/>
  <c r="B35" i="5"/>
  <c r="C35" i="5" s="1"/>
  <c r="D35" i="5"/>
  <c r="B36" i="5"/>
  <c r="D36" i="5"/>
  <c r="B37" i="5"/>
  <c r="C37" i="5" s="1"/>
  <c r="D37" i="5"/>
  <c r="B38" i="5"/>
  <c r="D38" i="5"/>
  <c r="B39" i="5"/>
  <c r="C39" i="5" s="1"/>
  <c r="D39" i="5"/>
  <c r="B40" i="5"/>
  <c r="C40" i="5" s="1"/>
  <c r="D40" i="5"/>
  <c r="B41" i="5"/>
  <c r="C41" i="5" s="1"/>
  <c r="D41" i="5"/>
  <c r="B42" i="5"/>
  <c r="C42" i="5" s="1"/>
  <c r="D42" i="5"/>
  <c r="B43" i="5"/>
  <c r="C43" i="5" s="1"/>
  <c r="D43" i="5"/>
  <c r="B44" i="5"/>
  <c r="D44" i="5"/>
  <c r="B45" i="5"/>
  <c r="C45" i="5" s="1"/>
  <c r="D45" i="5"/>
  <c r="B46" i="5"/>
  <c r="D46" i="5"/>
  <c r="B47" i="5"/>
  <c r="D47" i="5"/>
  <c r="B48" i="5"/>
  <c r="C48" i="5" s="1"/>
  <c r="D48" i="5"/>
  <c r="B49" i="5"/>
  <c r="C49" i="5" s="1"/>
  <c r="D49" i="5"/>
  <c r="B50" i="5"/>
  <c r="C50" i="5" s="1"/>
  <c r="D50" i="5"/>
  <c r="B51" i="5"/>
  <c r="D51" i="5"/>
  <c r="B52" i="5"/>
  <c r="D52" i="5"/>
  <c r="B53" i="5"/>
  <c r="C53" i="5" s="1"/>
  <c r="D53" i="5"/>
  <c r="B54" i="5"/>
  <c r="D54" i="5"/>
  <c r="B55" i="5"/>
  <c r="C55" i="5" s="1"/>
  <c r="D55" i="5"/>
  <c r="B56" i="5"/>
  <c r="C56" i="5" s="1"/>
  <c r="D56" i="5"/>
  <c r="B57" i="5"/>
  <c r="C57" i="5" s="1"/>
  <c r="D57" i="5"/>
  <c r="B58" i="5"/>
  <c r="C58" i="5" s="1"/>
  <c r="D58" i="5"/>
  <c r="B59" i="5"/>
  <c r="C59" i="5" s="1"/>
  <c r="D59" i="5"/>
  <c r="B60" i="5"/>
  <c r="D60" i="5"/>
  <c r="B61" i="5"/>
  <c r="C61" i="5" s="1"/>
  <c r="D61" i="5"/>
  <c r="B62" i="5"/>
  <c r="D62" i="5"/>
  <c r="B63" i="5"/>
  <c r="C63" i="5" s="1"/>
  <c r="D63" i="5"/>
  <c r="B64" i="5"/>
  <c r="C64" i="5" s="1"/>
  <c r="D64" i="5"/>
  <c r="B65" i="5"/>
  <c r="C65" i="5" s="1"/>
  <c r="D65" i="5"/>
  <c r="B66" i="5"/>
  <c r="C66" i="5" s="1"/>
  <c r="D66" i="5"/>
  <c r="B67" i="5"/>
  <c r="D67" i="5"/>
  <c r="B68" i="5"/>
  <c r="D68" i="5"/>
  <c r="B69" i="5"/>
  <c r="C69" i="5" s="1"/>
  <c r="D69" i="5"/>
  <c r="B70" i="5"/>
  <c r="D70" i="5"/>
  <c r="B71" i="5"/>
  <c r="C71" i="5" s="1"/>
  <c r="D71" i="5"/>
  <c r="B72" i="5"/>
  <c r="C72" i="5" s="1"/>
  <c r="D72" i="5"/>
  <c r="B73" i="5"/>
  <c r="C73" i="5" s="1"/>
  <c r="D73" i="5"/>
  <c r="B74" i="5"/>
  <c r="C74" i="5" s="1"/>
  <c r="D74" i="5"/>
  <c r="B75" i="5"/>
  <c r="C75" i="5" s="1"/>
  <c r="D75" i="5"/>
  <c r="B76" i="5"/>
  <c r="D76" i="5"/>
  <c r="B77" i="5"/>
  <c r="C77" i="5" s="1"/>
  <c r="D77" i="5"/>
  <c r="B78" i="5"/>
  <c r="D78" i="5"/>
  <c r="B79" i="5"/>
  <c r="C79" i="5" s="1"/>
  <c r="D79" i="5"/>
  <c r="B80" i="5"/>
  <c r="C80" i="5" s="1"/>
  <c r="D80" i="5"/>
  <c r="B81" i="5"/>
  <c r="C81" i="5" s="1"/>
  <c r="D81" i="5"/>
  <c r="B82" i="5"/>
  <c r="D82" i="5"/>
  <c r="B83" i="5"/>
  <c r="C83" i="5" s="1"/>
  <c r="D83" i="5"/>
  <c r="B84" i="5"/>
  <c r="D84" i="5"/>
  <c r="B85" i="5"/>
  <c r="C85" i="5" s="1"/>
  <c r="D85" i="5"/>
  <c r="B86" i="5"/>
  <c r="D86" i="5"/>
  <c r="B87" i="5"/>
  <c r="C87" i="5" s="1"/>
  <c r="D87" i="5"/>
  <c r="B88" i="5"/>
  <c r="C88" i="5" s="1"/>
  <c r="D88" i="5"/>
  <c r="B89" i="5"/>
  <c r="C89" i="5" s="1"/>
  <c r="D89" i="5"/>
  <c r="B90" i="5"/>
  <c r="C90" i="5" s="1"/>
  <c r="D90" i="5"/>
  <c r="B91" i="5"/>
  <c r="C91" i="5" s="1"/>
  <c r="D91" i="5"/>
  <c r="B92" i="5"/>
  <c r="D92" i="5"/>
  <c r="B93" i="5"/>
  <c r="C93" i="5" s="1"/>
  <c r="D93" i="5"/>
  <c r="B94" i="5"/>
  <c r="D94" i="5"/>
  <c r="B95" i="5"/>
  <c r="C95" i="5" s="1"/>
  <c r="D95" i="5"/>
  <c r="B96" i="5"/>
  <c r="C96" i="5" s="1"/>
  <c r="D96" i="5"/>
  <c r="B97" i="5"/>
  <c r="C97" i="5" s="1"/>
  <c r="D97" i="5"/>
  <c r="B98" i="5"/>
  <c r="C98" i="5" s="1"/>
  <c r="D98" i="5"/>
  <c r="B99" i="5"/>
  <c r="C99" i="5" s="1"/>
  <c r="D99" i="5"/>
  <c r="B100" i="5"/>
  <c r="D100" i="5"/>
  <c r="B101" i="5"/>
  <c r="C101" i="5" s="1"/>
  <c r="D101" i="5"/>
  <c r="B102" i="5"/>
  <c r="D102" i="5"/>
  <c r="B103" i="5"/>
  <c r="D103" i="5"/>
  <c r="B104" i="5"/>
  <c r="C104" i="5" s="1"/>
  <c r="D104" i="5"/>
  <c r="B105" i="5"/>
  <c r="C105" i="5" s="1"/>
  <c r="D105" i="5"/>
  <c r="B106" i="5"/>
  <c r="C106" i="5" s="1"/>
  <c r="D106" i="5"/>
  <c r="B107" i="5"/>
  <c r="D107" i="5"/>
  <c r="B108" i="5"/>
  <c r="D108" i="5"/>
  <c r="B109" i="5"/>
  <c r="C109" i="5" s="1"/>
  <c r="D109" i="5"/>
  <c r="B110" i="5"/>
  <c r="D110" i="5"/>
  <c r="B111" i="5"/>
  <c r="C111" i="5" s="1"/>
  <c r="D111" i="5"/>
  <c r="B112" i="5"/>
  <c r="C112" i="5" s="1"/>
  <c r="D112" i="5"/>
  <c r="B113" i="5"/>
  <c r="C113" i="5" s="1"/>
  <c r="D113" i="5"/>
  <c r="B114" i="5"/>
  <c r="C114" i="5" s="1"/>
  <c r="D114" i="5"/>
  <c r="B115" i="5"/>
  <c r="C115" i="5" s="1"/>
  <c r="D115" i="5"/>
  <c r="B116" i="5"/>
  <c r="D116" i="5"/>
  <c r="B117" i="5"/>
  <c r="C117" i="5" s="1"/>
  <c r="D117" i="5"/>
  <c r="B118" i="5"/>
  <c r="D118" i="5"/>
  <c r="B119" i="5"/>
  <c r="C119" i="5" s="1"/>
  <c r="D119" i="5"/>
  <c r="B120" i="5"/>
  <c r="C120" i="5" s="1"/>
  <c r="D120" i="5"/>
  <c r="B121" i="5"/>
  <c r="C121" i="5" s="1"/>
  <c r="D121" i="5"/>
  <c r="B122" i="5"/>
  <c r="C122" i="5" s="1"/>
  <c r="D122" i="5"/>
  <c r="B123" i="5"/>
  <c r="C123" i="5" s="1"/>
  <c r="D123" i="5"/>
  <c r="B124" i="5"/>
  <c r="D124" i="5"/>
  <c r="B125" i="5"/>
  <c r="C125" i="5" s="1"/>
  <c r="D125" i="5"/>
  <c r="B126" i="5"/>
  <c r="D126" i="5"/>
  <c r="B127" i="5"/>
  <c r="C127" i="5" s="1"/>
  <c r="D127" i="5"/>
  <c r="B128" i="5"/>
  <c r="D128" i="5"/>
  <c r="B129" i="5"/>
  <c r="C129" i="5" s="1"/>
  <c r="D129" i="5"/>
  <c r="B130" i="5"/>
  <c r="C130" i="5" s="1"/>
  <c r="D130" i="5"/>
  <c r="B131" i="5"/>
  <c r="C131" i="5" s="1"/>
  <c r="D131" i="5"/>
  <c r="B132" i="5"/>
  <c r="D132" i="5"/>
  <c r="B133" i="5"/>
  <c r="C133" i="5" s="1"/>
  <c r="D133" i="5"/>
  <c r="B134" i="5"/>
  <c r="D134" i="5"/>
  <c r="B135" i="5"/>
  <c r="C135" i="5" s="1"/>
  <c r="D135" i="5"/>
  <c r="B136" i="5"/>
  <c r="D136" i="5"/>
  <c r="B137" i="5"/>
  <c r="C137" i="5" s="1"/>
  <c r="D137" i="5"/>
  <c r="B138" i="5"/>
  <c r="C138" i="5" s="1"/>
  <c r="D138" i="5"/>
  <c r="B139" i="5"/>
  <c r="C139" i="5" s="1"/>
  <c r="D139" i="5"/>
  <c r="B140" i="5"/>
  <c r="D140" i="5"/>
  <c r="B141" i="5"/>
  <c r="C141" i="5" s="1"/>
  <c r="D141" i="5"/>
  <c r="B142" i="5"/>
  <c r="D142" i="5"/>
  <c r="B143" i="5"/>
  <c r="C143" i="5" s="1"/>
  <c r="D143" i="5"/>
  <c r="B144" i="5"/>
  <c r="D144" i="5"/>
  <c r="B145" i="5"/>
  <c r="C145" i="5" s="1"/>
  <c r="D145" i="5"/>
  <c r="B146" i="5"/>
  <c r="C146" i="5" s="1"/>
  <c r="D146" i="5"/>
  <c r="B147" i="5"/>
  <c r="C147" i="5" s="1"/>
  <c r="D147" i="5"/>
  <c r="B148" i="5"/>
  <c r="D148" i="5"/>
  <c r="B149" i="5"/>
  <c r="C149" i="5" s="1"/>
  <c r="D149" i="5"/>
  <c r="B150" i="5"/>
  <c r="D150" i="5"/>
  <c r="B151" i="5"/>
  <c r="C151" i="5" s="1"/>
  <c r="D151" i="5"/>
  <c r="B152" i="5"/>
  <c r="C152" i="5" s="1"/>
  <c r="D152" i="5"/>
  <c r="B153" i="5"/>
  <c r="C153" i="5" s="1"/>
  <c r="D153" i="5"/>
  <c r="B154" i="5"/>
  <c r="C154" i="5" s="1"/>
  <c r="D154" i="5"/>
  <c r="B155" i="5"/>
  <c r="C155" i="5" s="1"/>
  <c r="D155" i="5"/>
  <c r="B156" i="5"/>
  <c r="D156" i="5"/>
  <c r="B157" i="5"/>
  <c r="C157" i="5" s="1"/>
  <c r="D157" i="5"/>
  <c r="B158" i="5"/>
  <c r="D158" i="5"/>
  <c r="B159" i="5"/>
  <c r="C159" i="5" s="1"/>
  <c r="D159" i="5"/>
  <c r="B160" i="5"/>
  <c r="C160" i="5" s="1"/>
  <c r="D160" i="5"/>
  <c r="B161" i="5"/>
  <c r="C161" i="5" s="1"/>
  <c r="D161" i="5"/>
  <c r="B162" i="5"/>
  <c r="C162" i="5" s="1"/>
  <c r="D162" i="5"/>
  <c r="B163" i="5"/>
  <c r="C163" i="5" s="1"/>
  <c r="D163" i="5"/>
  <c r="B164" i="5"/>
  <c r="D164" i="5"/>
  <c r="B165" i="5"/>
  <c r="C165" i="5" s="1"/>
  <c r="D165" i="5"/>
  <c r="B166" i="5"/>
  <c r="D166" i="5"/>
  <c r="B167" i="5"/>
  <c r="C167" i="5" s="1"/>
  <c r="D167" i="5"/>
  <c r="B168" i="5"/>
  <c r="C168" i="5" s="1"/>
  <c r="D168" i="5"/>
  <c r="B169" i="5"/>
  <c r="C169" i="5" s="1"/>
  <c r="D169" i="5"/>
  <c r="B170" i="5"/>
  <c r="C170" i="5" s="1"/>
  <c r="D170" i="5"/>
  <c r="B171" i="5"/>
  <c r="C171" i="5" s="1"/>
  <c r="D171" i="5"/>
  <c r="B172" i="5"/>
  <c r="D172" i="5"/>
  <c r="B173" i="5"/>
  <c r="C173" i="5" s="1"/>
  <c r="D173" i="5"/>
  <c r="B174" i="5"/>
  <c r="C174" i="5" s="1"/>
  <c r="D174" i="5"/>
  <c r="B175" i="5"/>
  <c r="C175" i="5" s="1"/>
  <c r="D175" i="5"/>
  <c r="B176" i="5"/>
  <c r="C176" i="5" s="1"/>
  <c r="D176" i="5"/>
  <c r="B177" i="5"/>
  <c r="C177" i="5" s="1"/>
  <c r="D177" i="5"/>
  <c r="B178" i="5"/>
  <c r="C178" i="5" s="1"/>
  <c r="D178" i="5"/>
  <c r="B179" i="5"/>
  <c r="C179" i="5" s="1"/>
  <c r="D179" i="5"/>
  <c r="B180" i="5"/>
  <c r="C180" i="5" s="1"/>
  <c r="D180" i="5"/>
  <c r="B181" i="5"/>
  <c r="C181" i="5" s="1"/>
  <c r="D181" i="5"/>
  <c r="B182" i="5"/>
  <c r="C182" i="5" s="1"/>
  <c r="D182" i="5"/>
  <c r="B183" i="5"/>
  <c r="D183" i="5"/>
  <c r="B184" i="5"/>
  <c r="C184" i="5" s="1"/>
  <c r="D184" i="5"/>
  <c r="B185" i="5"/>
  <c r="C185" i="5" s="1"/>
  <c r="D185" i="5"/>
  <c r="B186" i="5"/>
  <c r="C186" i="5" s="1"/>
  <c r="D186" i="5"/>
  <c r="B187" i="5"/>
  <c r="C187" i="5" s="1"/>
  <c r="D187" i="5"/>
  <c r="B188" i="5"/>
  <c r="C188" i="5" s="1"/>
  <c r="D188" i="5"/>
  <c r="B189" i="5"/>
  <c r="C189" i="5" s="1"/>
  <c r="D189" i="5"/>
  <c r="B190" i="5"/>
  <c r="C190" i="5" s="1"/>
  <c r="D190" i="5"/>
  <c r="B191" i="5"/>
  <c r="D191" i="5"/>
  <c r="B192" i="5"/>
  <c r="C192" i="5" s="1"/>
  <c r="D192" i="5"/>
  <c r="B193" i="5"/>
  <c r="C193" i="5" s="1"/>
  <c r="D193" i="5"/>
  <c r="B194" i="5"/>
  <c r="C194" i="5" s="1"/>
  <c r="D194" i="5"/>
  <c r="B195" i="5"/>
  <c r="C195" i="5" s="1"/>
  <c r="D195" i="5"/>
  <c r="B196" i="5"/>
  <c r="C196" i="5" s="1"/>
  <c r="D196" i="5"/>
  <c r="B197" i="5"/>
  <c r="C197" i="5" s="1"/>
  <c r="D197" i="5"/>
  <c r="B198" i="5"/>
  <c r="C198" i="5" s="1"/>
  <c r="D198" i="5"/>
  <c r="B199" i="5"/>
  <c r="C199" i="5" s="1"/>
  <c r="D199" i="5"/>
  <c r="B200" i="5"/>
  <c r="C200" i="5" s="1"/>
  <c r="D200" i="5"/>
  <c r="B201" i="5"/>
  <c r="C201" i="5" s="1"/>
  <c r="D201" i="5"/>
  <c r="B202" i="5"/>
  <c r="C202" i="5" s="1"/>
  <c r="D202" i="5"/>
  <c r="B203" i="5"/>
  <c r="D203" i="5"/>
  <c r="B204" i="5"/>
  <c r="C204" i="5" s="1"/>
  <c r="D204" i="5"/>
  <c r="B205" i="5"/>
  <c r="C205" i="5" s="1"/>
  <c r="D205" i="5"/>
  <c r="B206" i="5"/>
  <c r="C206" i="5" s="1"/>
  <c r="D206" i="5"/>
  <c r="B207" i="5"/>
  <c r="D207" i="5"/>
  <c r="B208" i="5"/>
  <c r="C208" i="5" s="1"/>
  <c r="D208" i="5"/>
  <c r="B209" i="5"/>
  <c r="C209" i="5" s="1"/>
  <c r="D209" i="5"/>
  <c r="B210" i="5"/>
  <c r="C210" i="5" s="1"/>
  <c r="D210" i="5"/>
  <c r="B211" i="5"/>
  <c r="C211" i="5" s="1"/>
  <c r="D211" i="5"/>
  <c r="B212" i="5"/>
  <c r="C212" i="5" s="1"/>
  <c r="D212" i="5"/>
  <c r="B213" i="5"/>
  <c r="C213" i="5" s="1"/>
  <c r="D213" i="5"/>
  <c r="B214" i="5"/>
  <c r="C214" i="5" s="1"/>
  <c r="D214" i="5"/>
  <c r="B215" i="5"/>
  <c r="C215" i="5" s="1"/>
  <c r="D215" i="5"/>
  <c r="B216" i="5"/>
  <c r="C216" i="5" s="1"/>
  <c r="D216" i="5"/>
  <c r="B217" i="5"/>
  <c r="C217" i="5" s="1"/>
  <c r="D217" i="5"/>
  <c r="B218" i="5"/>
  <c r="C218" i="5" s="1"/>
  <c r="D218" i="5"/>
  <c r="B219" i="5"/>
  <c r="C219" i="5" s="1"/>
  <c r="D219" i="5"/>
  <c r="B220" i="5"/>
  <c r="C220" i="5" s="1"/>
  <c r="D220" i="5"/>
  <c r="B221" i="5"/>
  <c r="C221" i="5" s="1"/>
  <c r="D221" i="5"/>
  <c r="B222" i="5"/>
  <c r="C222" i="5" s="1"/>
  <c r="D222" i="5"/>
  <c r="B223" i="5"/>
  <c r="C223" i="5" s="1"/>
  <c r="D223" i="5"/>
  <c r="B224" i="5"/>
  <c r="C224" i="5" s="1"/>
  <c r="D224" i="5"/>
  <c r="B225" i="5"/>
  <c r="C225" i="5" s="1"/>
  <c r="D225" i="5"/>
  <c r="B226" i="5"/>
  <c r="C226" i="5" s="1"/>
  <c r="D226" i="5"/>
  <c r="B227" i="5"/>
  <c r="D227" i="5"/>
  <c r="B228" i="5"/>
  <c r="C228" i="5" s="1"/>
  <c r="D228" i="5"/>
  <c r="B229" i="5"/>
  <c r="D229" i="5"/>
  <c r="B230" i="5"/>
  <c r="C230" i="5" s="1"/>
  <c r="D230" i="5"/>
  <c r="B231" i="5"/>
  <c r="C231" i="5" s="1"/>
  <c r="D231" i="5"/>
  <c r="B232" i="5"/>
  <c r="C232" i="5" s="1"/>
  <c r="D232" i="5"/>
  <c r="B233" i="5"/>
  <c r="C233" i="5" s="1"/>
  <c r="D233" i="5"/>
  <c r="B234" i="5"/>
  <c r="C234" i="5" s="1"/>
  <c r="D234" i="5"/>
  <c r="B235" i="5"/>
  <c r="D235" i="5"/>
  <c r="B236" i="5"/>
  <c r="C236" i="5" s="1"/>
  <c r="D236" i="5"/>
  <c r="B237" i="5"/>
  <c r="D237" i="5"/>
  <c r="B238" i="5"/>
  <c r="C238" i="5" s="1"/>
  <c r="D238" i="5"/>
  <c r="B239" i="5"/>
  <c r="C239" i="5" s="1"/>
  <c r="D239" i="5"/>
  <c r="B240" i="5"/>
  <c r="C240" i="5" s="1"/>
  <c r="D240" i="5"/>
  <c r="B241" i="5"/>
  <c r="C241" i="5" s="1"/>
  <c r="D241" i="5"/>
  <c r="B242" i="5"/>
  <c r="C242" i="5" s="1"/>
  <c r="D242" i="5"/>
  <c r="B243" i="5"/>
  <c r="D243" i="5"/>
  <c r="B244" i="5"/>
  <c r="C244" i="5" s="1"/>
  <c r="D244" i="5"/>
  <c r="B245" i="5"/>
  <c r="D245" i="5"/>
  <c r="B246" i="5"/>
  <c r="C246" i="5" s="1"/>
  <c r="D246" i="5"/>
  <c r="B247" i="5"/>
  <c r="C247" i="5" s="1"/>
  <c r="D247" i="5"/>
  <c r="B248" i="5"/>
  <c r="C248" i="5" s="1"/>
  <c r="D248" i="5"/>
  <c r="B249" i="5"/>
  <c r="C249" i="5" s="1"/>
  <c r="D249" i="5"/>
  <c r="B250" i="5"/>
  <c r="C250" i="5" s="1"/>
  <c r="D250" i="5"/>
  <c r="B251" i="5"/>
  <c r="D251" i="5"/>
  <c r="B252" i="5"/>
  <c r="C252" i="5" s="1"/>
  <c r="D252" i="5"/>
  <c r="B253" i="5"/>
  <c r="D253" i="5"/>
  <c r="B254" i="5"/>
  <c r="C254" i="5" s="1"/>
  <c r="D254" i="5"/>
  <c r="B255" i="5"/>
  <c r="C255" i="5" s="1"/>
  <c r="D255" i="5"/>
  <c r="B256" i="5"/>
  <c r="C256" i="5" s="1"/>
  <c r="D256" i="5"/>
  <c r="B257" i="5"/>
  <c r="C257" i="5" s="1"/>
  <c r="D257" i="5"/>
  <c r="B258" i="5"/>
  <c r="C258" i="5" s="1"/>
  <c r="D258" i="5"/>
  <c r="B259" i="5"/>
  <c r="D259" i="5"/>
  <c r="B260" i="5"/>
  <c r="C260" i="5" s="1"/>
  <c r="D260" i="5"/>
  <c r="B261" i="5"/>
  <c r="D261" i="5"/>
  <c r="B262" i="5"/>
  <c r="C262" i="5" s="1"/>
  <c r="D262" i="5"/>
  <c r="B263" i="5"/>
  <c r="C263" i="5" s="1"/>
  <c r="D263" i="5"/>
  <c r="B264" i="5"/>
  <c r="C264" i="5" s="1"/>
  <c r="D264" i="5"/>
  <c r="B265" i="5"/>
  <c r="C265" i="5" s="1"/>
  <c r="D265" i="5"/>
  <c r="B266" i="5"/>
  <c r="C266" i="5" s="1"/>
  <c r="D266" i="5"/>
  <c r="B267" i="5"/>
  <c r="D267" i="5"/>
  <c r="B268" i="5"/>
  <c r="C268" i="5" s="1"/>
  <c r="D268" i="5"/>
  <c r="B269" i="5"/>
  <c r="D269" i="5"/>
  <c r="B270" i="5"/>
  <c r="C270" i="5" s="1"/>
  <c r="D270" i="5"/>
  <c r="B271" i="5"/>
  <c r="C271" i="5" s="1"/>
  <c r="D271" i="5"/>
  <c r="B272" i="5"/>
  <c r="C272" i="5" s="1"/>
  <c r="D272" i="5"/>
  <c r="B273" i="5"/>
  <c r="C273" i="5" s="1"/>
  <c r="D273" i="5"/>
  <c r="B274" i="5"/>
  <c r="C274" i="5" s="1"/>
  <c r="D274" i="5"/>
  <c r="B275" i="5"/>
  <c r="D275" i="5"/>
  <c r="B276" i="5"/>
  <c r="C276" i="5" s="1"/>
  <c r="D276" i="5"/>
  <c r="B277" i="5"/>
  <c r="D277" i="5"/>
  <c r="B278" i="5"/>
  <c r="C278" i="5" s="1"/>
  <c r="D278" i="5"/>
  <c r="B279" i="5"/>
  <c r="C279" i="5" s="1"/>
  <c r="D279" i="5"/>
  <c r="B280" i="5"/>
  <c r="D280" i="5"/>
  <c r="B281" i="5"/>
  <c r="C281" i="5" s="1"/>
  <c r="D281" i="5"/>
  <c r="B282" i="5"/>
  <c r="C282" i="5" s="1"/>
  <c r="D282" i="5"/>
  <c r="B283" i="5"/>
  <c r="D283" i="5"/>
  <c r="B284" i="5"/>
  <c r="C284" i="5" s="1"/>
  <c r="D284" i="5"/>
  <c r="B285" i="5"/>
  <c r="D285" i="5"/>
  <c r="B286" i="5"/>
  <c r="C286" i="5" s="1"/>
  <c r="D286" i="5"/>
  <c r="B287" i="5"/>
  <c r="C287" i="5" s="1"/>
  <c r="D287" i="5"/>
  <c r="B288" i="5"/>
  <c r="C288" i="5" s="1"/>
  <c r="D288" i="5"/>
  <c r="B289" i="5"/>
  <c r="C289" i="5" s="1"/>
  <c r="D289" i="5"/>
  <c r="B290" i="5"/>
  <c r="C290" i="5" s="1"/>
  <c r="D290" i="5"/>
  <c r="B291" i="5"/>
  <c r="D291" i="5"/>
  <c r="B292" i="5"/>
  <c r="C292" i="5" s="1"/>
  <c r="D292" i="5"/>
  <c r="B293" i="5"/>
  <c r="D293" i="5"/>
  <c r="B294" i="5"/>
  <c r="C294" i="5" s="1"/>
  <c r="D294" i="5"/>
  <c r="B295" i="5"/>
  <c r="C295" i="5" s="1"/>
  <c r="D295" i="5"/>
  <c r="B296" i="5"/>
  <c r="C296" i="5" s="1"/>
  <c r="D296" i="5"/>
  <c r="B297" i="5"/>
  <c r="C297" i="5" s="1"/>
  <c r="D297" i="5"/>
  <c r="B298" i="5"/>
  <c r="C298" i="5" s="1"/>
  <c r="D298" i="5"/>
  <c r="B299" i="5"/>
  <c r="D299" i="5"/>
  <c r="B300" i="5"/>
  <c r="C300" i="5" s="1"/>
  <c r="D300" i="5"/>
  <c r="B301" i="5"/>
  <c r="D301" i="5"/>
  <c r="B302" i="5"/>
  <c r="C302" i="5" s="1"/>
  <c r="D302" i="5"/>
  <c r="B303" i="5"/>
  <c r="C303" i="5" s="1"/>
  <c r="D303" i="5"/>
  <c r="B304" i="5"/>
  <c r="C304" i="5" s="1"/>
  <c r="D304" i="5"/>
  <c r="B305" i="5"/>
  <c r="C305" i="5" s="1"/>
  <c r="D305" i="5"/>
  <c r="B306" i="5"/>
  <c r="C306" i="5" s="1"/>
  <c r="D306" i="5"/>
  <c r="B307" i="5"/>
  <c r="C307" i="5" s="1"/>
  <c r="D307" i="5"/>
  <c r="B308" i="5"/>
  <c r="C308" i="5" s="1"/>
  <c r="D308" i="5"/>
  <c r="B309" i="5"/>
  <c r="D309" i="5"/>
  <c r="B310" i="5"/>
  <c r="C310" i="5" s="1"/>
  <c r="D310" i="5"/>
  <c r="B311" i="5"/>
  <c r="C311" i="5" s="1"/>
  <c r="D311" i="5"/>
  <c r="B312" i="5"/>
  <c r="C312" i="5" s="1"/>
  <c r="D312" i="5"/>
  <c r="B313" i="5"/>
  <c r="C313" i="5" s="1"/>
  <c r="D313" i="5"/>
  <c r="B314" i="5"/>
  <c r="C314" i="5" s="1"/>
  <c r="D314" i="5"/>
  <c r="B315" i="5"/>
  <c r="C315" i="5" s="1"/>
  <c r="D315" i="5"/>
  <c r="B316" i="5"/>
  <c r="C316" i="5" s="1"/>
  <c r="D316" i="5"/>
  <c r="B317" i="5"/>
  <c r="D317" i="5"/>
  <c r="B318" i="5"/>
  <c r="C318" i="5" s="1"/>
  <c r="D318" i="5"/>
  <c r="B319" i="5"/>
  <c r="C319" i="5" s="1"/>
  <c r="D319" i="5"/>
  <c r="B320" i="5"/>
  <c r="C320" i="5" s="1"/>
  <c r="D320" i="5"/>
  <c r="B321" i="5"/>
  <c r="C321" i="5" s="1"/>
  <c r="D321" i="5"/>
  <c r="B322" i="5"/>
  <c r="C322" i="5" s="1"/>
  <c r="D322" i="5"/>
  <c r="B323" i="5"/>
  <c r="C323" i="5" s="1"/>
  <c r="D323" i="5"/>
  <c r="B324" i="5"/>
  <c r="C324" i="5" s="1"/>
  <c r="D324" i="5"/>
  <c r="B325" i="5"/>
  <c r="D325" i="5"/>
  <c r="B326" i="5"/>
  <c r="C326" i="5" s="1"/>
  <c r="D326" i="5"/>
  <c r="B327" i="5"/>
  <c r="C327" i="5" s="1"/>
  <c r="D327" i="5"/>
  <c r="B328" i="5"/>
  <c r="C328" i="5" s="1"/>
  <c r="D328" i="5"/>
  <c r="B329" i="5"/>
  <c r="C329" i="5" s="1"/>
  <c r="D329" i="5"/>
  <c r="B330" i="5"/>
  <c r="C330" i="5" s="1"/>
  <c r="D330" i="5"/>
  <c r="B331" i="5"/>
  <c r="C331" i="5" s="1"/>
  <c r="D331" i="5"/>
  <c r="B332" i="5"/>
  <c r="C332" i="5" s="1"/>
  <c r="D332" i="5"/>
  <c r="B333" i="5"/>
  <c r="D333" i="5"/>
  <c r="B334" i="5"/>
  <c r="C334" i="5" s="1"/>
  <c r="D334" i="5"/>
  <c r="B335" i="5"/>
  <c r="C335" i="5" s="1"/>
  <c r="D335" i="5"/>
  <c r="B336" i="5"/>
  <c r="C336" i="5" s="1"/>
  <c r="D336" i="5"/>
  <c r="B337" i="5"/>
  <c r="C337" i="5" s="1"/>
  <c r="D337" i="5"/>
  <c r="B338" i="5"/>
  <c r="C338" i="5" s="1"/>
  <c r="D338" i="5"/>
  <c r="B339" i="5"/>
  <c r="C339" i="5" s="1"/>
  <c r="D339" i="5"/>
  <c r="B340" i="5"/>
  <c r="C340" i="5" s="1"/>
  <c r="D340" i="5"/>
  <c r="B341" i="5"/>
  <c r="D341" i="5"/>
  <c r="B342" i="5"/>
  <c r="C342" i="5" s="1"/>
  <c r="D342" i="5"/>
  <c r="B343" i="5"/>
  <c r="C343" i="5" s="1"/>
  <c r="D343" i="5"/>
  <c r="B344" i="5"/>
  <c r="C344" i="5" s="1"/>
  <c r="D344" i="5"/>
  <c r="B345" i="5"/>
  <c r="C345" i="5" s="1"/>
  <c r="D345" i="5"/>
  <c r="B346" i="5"/>
  <c r="C346" i="5" s="1"/>
  <c r="D346" i="5"/>
  <c r="B347" i="5"/>
  <c r="C347" i="5" s="1"/>
  <c r="D347" i="5"/>
  <c r="B348" i="5"/>
  <c r="C348" i="5" s="1"/>
  <c r="D348" i="5"/>
  <c r="B349" i="5"/>
  <c r="D349" i="5"/>
  <c r="B350" i="5"/>
  <c r="C350" i="5" s="1"/>
  <c r="D350" i="5"/>
  <c r="B351" i="5"/>
  <c r="C351" i="5" s="1"/>
  <c r="D351" i="5"/>
  <c r="B352" i="5"/>
  <c r="C352" i="5" s="1"/>
  <c r="D352" i="5"/>
  <c r="B353" i="5"/>
  <c r="C353" i="5" s="1"/>
  <c r="D353" i="5"/>
  <c r="B354" i="5"/>
  <c r="C354" i="5" s="1"/>
  <c r="D354" i="5"/>
  <c r="B355" i="5"/>
  <c r="C355" i="5" s="1"/>
  <c r="D355" i="5"/>
  <c r="B356" i="5"/>
  <c r="C356" i="5" s="1"/>
  <c r="D356" i="5"/>
  <c r="B357" i="5"/>
  <c r="D357" i="5"/>
  <c r="B358" i="5"/>
  <c r="C358" i="5" s="1"/>
  <c r="D358" i="5"/>
  <c r="B359" i="5"/>
  <c r="C359" i="5" s="1"/>
  <c r="D359" i="5"/>
  <c r="B360" i="5"/>
  <c r="C360" i="5" s="1"/>
  <c r="D360" i="5"/>
  <c r="B361" i="5"/>
  <c r="C361" i="5" s="1"/>
  <c r="D361" i="5"/>
  <c r="B362" i="5"/>
  <c r="C362" i="5" s="1"/>
  <c r="D362" i="5"/>
  <c r="B363" i="5"/>
  <c r="C363" i="5" s="1"/>
  <c r="D363" i="5"/>
  <c r="B364" i="5"/>
  <c r="C364" i="5" s="1"/>
  <c r="D364" i="5"/>
  <c r="B365" i="5"/>
  <c r="D365" i="5"/>
  <c r="B366" i="5"/>
  <c r="C366" i="5" s="1"/>
  <c r="D366" i="5"/>
  <c r="B367" i="5"/>
  <c r="C367" i="5" s="1"/>
  <c r="D367" i="5"/>
  <c r="B368" i="5"/>
  <c r="C368" i="5" s="1"/>
  <c r="D368" i="5"/>
  <c r="B369" i="5"/>
  <c r="C369" i="5" s="1"/>
  <c r="D369" i="5"/>
  <c r="B370" i="5"/>
  <c r="C370" i="5" s="1"/>
  <c r="D370" i="5"/>
  <c r="B371" i="5"/>
  <c r="C371" i="5" s="1"/>
  <c r="D371" i="5"/>
  <c r="B372" i="5"/>
  <c r="C372" i="5" s="1"/>
  <c r="D372" i="5"/>
  <c r="B373" i="5"/>
  <c r="D373" i="5"/>
  <c r="B374" i="5"/>
  <c r="C374" i="5" s="1"/>
  <c r="D374" i="5"/>
  <c r="B375" i="5"/>
  <c r="C375" i="5" s="1"/>
  <c r="D375" i="5"/>
  <c r="B376" i="5"/>
  <c r="C376" i="5" s="1"/>
  <c r="D376" i="5"/>
  <c r="B377" i="5"/>
  <c r="C377" i="5" s="1"/>
  <c r="D377" i="5"/>
  <c r="B378" i="5"/>
  <c r="C378" i="5" s="1"/>
  <c r="D378" i="5"/>
  <c r="B379" i="5"/>
  <c r="C379" i="5" s="1"/>
  <c r="D379" i="5"/>
  <c r="B380" i="5"/>
  <c r="C380" i="5" s="1"/>
  <c r="D380" i="5"/>
  <c r="B381" i="5"/>
  <c r="D381" i="5"/>
  <c r="B382" i="5"/>
  <c r="C382" i="5" s="1"/>
  <c r="D382" i="5"/>
  <c r="B383" i="5"/>
  <c r="C383" i="5" s="1"/>
  <c r="D383" i="5"/>
  <c r="B384" i="5"/>
  <c r="C384" i="5" s="1"/>
  <c r="D384" i="5"/>
  <c r="B385" i="5"/>
  <c r="D385" i="5"/>
  <c r="B386" i="5"/>
  <c r="C386" i="5" s="1"/>
  <c r="D386" i="5"/>
  <c r="B387" i="5"/>
  <c r="C387" i="5" s="1"/>
  <c r="D387" i="5"/>
  <c r="B388" i="5"/>
  <c r="C388" i="5" s="1"/>
  <c r="D388" i="5"/>
  <c r="B389" i="5"/>
  <c r="C389" i="5" s="1"/>
  <c r="D389" i="5"/>
  <c r="B390" i="5"/>
  <c r="C390" i="5" s="1"/>
  <c r="D390" i="5"/>
  <c r="B391" i="5"/>
  <c r="C391" i="5" s="1"/>
  <c r="D391" i="5"/>
  <c r="B392" i="5"/>
  <c r="D392" i="5"/>
  <c r="B393" i="5"/>
  <c r="C393" i="5" s="1"/>
  <c r="D393" i="5"/>
  <c r="B394" i="5"/>
  <c r="C394" i="5" s="1"/>
  <c r="D394" i="5"/>
  <c r="B395" i="5"/>
  <c r="C395" i="5" s="1"/>
  <c r="D395" i="5"/>
  <c r="B396" i="5"/>
  <c r="C396" i="5" s="1"/>
  <c r="D396" i="5"/>
  <c r="B397" i="5"/>
  <c r="C397" i="5" s="1"/>
  <c r="D397" i="5"/>
  <c r="B398" i="5"/>
  <c r="C398" i="5" s="1"/>
  <c r="D398" i="5"/>
  <c r="B399" i="5"/>
  <c r="C399" i="5" s="1"/>
  <c r="D399" i="5"/>
  <c r="B400" i="5"/>
  <c r="D400" i="5"/>
  <c r="B401" i="5"/>
  <c r="C401" i="5" s="1"/>
  <c r="D401" i="5"/>
  <c r="B402" i="5"/>
  <c r="C402" i="5" s="1"/>
  <c r="D402" i="5"/>
  <c r="B403" i="5"/>
  <c r="C403" i="5" s="1"/>
  <c r="D403" i="5"/>
  <c r="B404" i="5"/>
  <c r="C404" i="5" s="1"/>
  <c r="D404" i="5"/>
  <c r="B405" i="5"/>
  <c r="C405" i="5" s="1"/>
  <c r="D405" i="5"/>
  <c r="B406" i="5"/>
  <c r="C406" i="5" s="1"/>
  <c r="D406" i="5"/>
  <c r="B407" i="5"/>
  <c r="C407" i="5" s="1"/>
  <c r="D407" i="5"/>
  <c r="B408" i="5"/>
  <c r="D408" i="5"/>
  <c r="B409" i="5"/>
  <c r="C409" i="5" s="1"/>
  <c r="D409" i="5"/>
  <c r="B410" i="5"/>
  <c r="C410" i="5" s="1"/>
  <c r="D410" i="5"/>
  <c r="B411" i="5"/>
  <c r="C411" i="5" s="1"/>
  <c r="D411" i="5"/>
  <c r="B412" i="5"/>
  <c r="C412" i="5" s="1"/>
  <c r="D412" i="5"/>
  <c r="B413" i="5"/>
  <c r="C413" i="5" s="1"/>
  <c r="D413" i="5"/>
  <c r="B414" i="5"/>
  <c r="C414" i="5" s="1"/>
  <c r="D414" i="5"/>
  <c r="B415" i="5"/>
  <c r="C415" i="5" s="1"/>
  <c r="D415" i="5"/>
  <c r="B416" i="5"/>
  <c r="D416" i="5"/>
  <c r="B417" i="5"/>
  <c r="C417" i="5" s="1"/>
  <c r="D417" i="5"/>
  <c r="B418" i="5"/>
  <c r="C418" i="5" s="1"/>
  <c r="D418" i="5"/>
  <c r="B419" i="5"/>
  <c r="C419" i="5" s="1"/>
  <c r="D419" i="5"/>
  <c r="B420" i="5"/>
  <c r="C420" i="5" s="1"/>
  <c r="D420" i="5"/>
  <c r="B421" i="5"/>
  <c r="C421" i="5" s="1"/>
  <c r="D421" i="5"/>
  <c r="B422" i="5"/>
  <c r="C422" i="5" s="1"/>
  <c r="D422" i="5"/>
  <c r="B423" i="5"/>
  <c r="C423" i="5" s="1"/>
  <c r="D423" i="5"/>
  <c r="B424" i="5"/>
  <c r="D424" i="5"/>
  <c r="B425" i="5"/>
  <c r="C425" i="5" s="1"/>
  <c r="D425" i="5"/>
  <c r="B426" i="5"/>
  <c r="C426" i="5" s="1"/>
  <c r="D426" i="5"/>
  <c r="B427" i="5"/>
  <c r="C427" i="5" s="1"/>
  <c r="D427" i="5"/>
  <c r="B428" i="5"/>
  <c r="C428" i="5" s="1"/>
  <c r="D428" i="5"/>
  <c r="B429" i="5"/>
  <c r="C429" i="5" s="1"/>
  <c r="D429" i="5"/>
  <c r="B430" i="5"/>
  <c r="D430" i="5"/>
  <c r="B431" i="5"/>
  <c r="C431" i="5" s="1"/>
  <c r="D431" i="5"/>
  <c r="B432" i="5"/>
  <c r="D432" i="5"/>
  <c r="B433" i="5"/>
  <c r="C433" i="5" s="1"/>
  <c r="D433" i="5"/>
  <c r="B434" i="5"/>
  <c r="C434" i="5" s="1"/>
  <c r="D434" i="5"/>
  <c r="B435" i="5"/>
  <c r="C435" i="5" s="1"/>
  <c r="D435" i="5"/>
  <c r="B436" i="5"/>
  <c r="C436" i="5" s="1"/>
  <c r="D436" i="5"/>
  <c r="B437" i="5"/>
  <c r="C437" i="5" s="1"/>
  <c r="D437" i="5"/>
  <c r="B438" i="5"/>
  <c r="C438" i="5" s="1"/>
  <c r="D438" i="5"/>
  <c r="B439" i="5"/>
  <c r="D439" i="5"/>
  <c r="B440" i="5"/>
  <c r="C440" i="5" s="1"/>
  <c r="D440" i="5"/>
  <c r="B441" i="5"/>
  <c r="C441" i="5" s="1"/>
  <c r="D441" i="5"/>
  <c r="B442" i="5"/>
  <c r="C442" i="5" s="1"/>
  <c r="D442" i="5"/>
  <c r="B443" i="5"/>
  <c r="C443" i="5" s="1"/>
  <c r="D443" i="5"/>
  <c r="B444" i="5"/>
  <c r="C444" i="5" s="1"/>
  <c r="D444" i="5"/>
  <c r="B445" i="5"/>
  <c r="C445" i="5" s="1"/>
  <c r="D445" i="5"/>
  <c r="B446" i="5"/>
  <c r="C446" i="5" s="1"/>
  <c r="D446" i="5"/>
  <c r="B447" i="5"/>
  <c r="C447" i="5" s="1"/>
  <c r="D447" i="5"/>
  <c r="B448" i="5"/>
  <c r="C448" i="5" s="1"/>
  <c r="D448" i="5"/>
  <c r="B449" i="5"/>
  <c r="C449" i="5" s="1"/>
  <c r="D449" i="5"/>
  <c r="B450" i="5"/>
  <c r="C450" i="5" s="1"/>
  <c r="D450" i="5"/>
  <c r="B451" i="5"/>
  <c r="C451" i="5" s="1"/>
  <c r="D451" i="5"/>
  <c r="B452" i="5"/>
  <c r="C452" i="5" s="1"/>
  <c r="D452" i="5"/>
  <c r="B453" i="5"/>
  <c r="C453" i="5" s="1"/>
  <c r="D453" i="5"/>
  <c r="B454" i="5"/>
  <c r="C454" i="5" s="1"/>
  <c r="D454" i="5"/>
  <c r="B455" i="5"/>
  <c r="C455" i="5" s="1"/>
  <c r="D455" i="5"/>
  <c r="B456" i="5"/>
  <c r="C456" i="5" s="1"/>
  <c r="D456" i="5"/>
  <c r="B457" i="5"/>
  <c r="C457" i="5" s="1"/>
  <c r="D457" i="5"/>
  <c r="B458" i="5"/>
  <c r="C458" i="5" s="1"/>
  <c r="D458" i="5"/>
  <c r="B459" i="5"/>
  <c r="C459" i="5" s="1"/>
  <c r="D459" i="5"/>
  <c r="B460" i="5"/>
  <c r="C460" i="5" s="1"/>
  <c r="D460" i="5"/>
  <c r="B461" i="5"/>
  <c r="C461" i="5" s="1"/>
  <c r="D461" i="5"/>
  <c r="B462" i="5"/>
  <c r="C462" i="5" s="1"/>
  <c r="D462" i="5"/>
  <c r="B463" i="5"/>
  <c r="C463" i="5" s="1"/>
  <c r="D463" i="5"/>
  <c r="B464" i="5"/>
  <c r="C464" i="5" s="1"/>
  <c r="D464" i="5"/>
  <c r="B465" i="5"/>
  <c r="C465" i="5" s="1"/>
  <c r="D465" i="5"/>
  <c r="B466" i="5"/>
  <c r="C466" i="5" s="1"/>
  <c r="D466" i="5"/>
  <c r="B467" i="5"/>
  <c r="C467" i="5" s="1"/>
  <c r="D467" i="5"/>
  <c r="B468" i="5"/>
  <c r="C468" i="5" s="1"/>
  <c r="D468" i="5"/>
  <c r="B469" i="5"/>
  <c r="C469" i="5" s="1"/>
  <c r="D469" i="5"/>
  <c r="B470" i="5"/>
  <c r="C470" i="5" s="1"/>
  <c r="D470" i="5"/>
  <c r="B471" i="5"/>
  <c r="C471" i="5" s="1"/>
  <c r="D471" i="5"/>
  <c r="B472" i="5"/>
  <c r="C472" i="5" s="1"/>
  <c r="D472" i="5"/>
  <c r="B473" i="5"/>
  <c r="C473" i="5" s="1"/>
  <c r="D473" i="5"/>
  <c r="B474" i="5"/>
  <c r="C474" i="5" s="1"/>
  <c r="D474" i="5"/>
  <c r="B475" i="5"/>
  <c r="C475" i="5" s="1"/>
  <c r="D475" i="5"/>
  <c r="B476" i="5"/>
  <c r="C476" i="5" s="1"/>
  <c r="D476" i="5"/>
  <c r="B477" i="5"/>
  <c r="C477" i="5" s="1"/>
  <c r="D477" i="5"/>
  <c r="B478" i="5"/>
  <c r="C478" i="5" s="1"/>
  <c r="D478" i="5"/>
  <c r="B479" i="5"/>
  <c r="C479" i="5" s="1"/>
  <c r="D479" i="5"/>
  <c r="B480" i="5"/>
  <c r="C480" i="5" s="1"/>
  <c r="D480" i="5"/>
  <c r="B481" i="5"/>
  <c r="C481" i="5" s="1"/>
  <c r="D481" i="5"/>
  <c r="B482" i="5"/>
  <c r="D482" i="5"/>
  <c r="B483" i="5"/>
  <c r="C483" i="5" s="1"/>
  <c r="D483" i="5"/>
  <c r="B484" i="5"/>
  <c r="C484" i="5" s="1"/>
  <c r="D484" i="5"/>
  <c r="B485" i="5"/>
  <c r="C485" i="5" s="1"/>
  <c r="D485" i="5"/>
  <c r="B486" i="5"/>
  <c r="C486" i="5" s="1"/>
  <c r="D486" i="5"/>
  <c r="B487" i="5"/>
  <c r="C487" i="5" s="1"/>
  <c r="D487" i="5"/>
  <c r="B488" i="5"/>
  <c r="C488" i="5" s="1"/>
  <c r="D488" i="5"/>
  <c r="B489" i="5"/>
  <c r="C489" i="5" s="1"/>
  <c r="D489" i="5"/>
  <c r="B490" i="5"/>
  <c r="D490" i="5"/>
  <c r="B491" i="5"/>
  <c r="C491" i="5" s="1"/>
  <c r="D491" i="5"/>
  <c r="B492" i="5"/>
  <c r="C492" i="5" s="1"/>
  <c r="D492" i="5"/>
  <c r="B493" i="5"/>
  <c r="C493" i="5" s="1"/>
  <c r="D493" i="5"/>
  <c r="B494" i="5"/>
  <c r="C494" i="5" s="1"/>
  <c r="D494" i="5"/>
  <c r="B495" i="5"/>
  <c r="C495" i="5" s="1"/>
  <c r="D495" i="5"/>
  <c r="K2" i="5"/>
  <c r="I2" i="5"/>
  <c r="D2" i="5"/>
  <c r="B2" i="5"/>
  <c r="C3" i="4"/>
  <c r="C35" i="4"/>
  <c r="C67" i="4"/>
  <c r="C99" i="4"/>
  <c r="C131" i="4"/>
  <c r="C163" i="4"/>
  <c r="C195" i="4"/>
  <c r="C227" i="4"/>
  <c r="C259" i="4"/>
  <c r="C291" i="4"/>
  <c r="C323" i="4"/>
  <c r="C355" i="4"/>
  <c r="C387" i="4"/>
  <c r="C419" i="4"/>
  <c r="C451" i="4"/>
  <c r="C483" i="4"/>
  <c r="D19" i="4"/>
  <c r="D51" i="4"/>
  <c r="D83" i="4"/>
  <c r="D115" i="4"/>
  <c r="D147" i="4"/>
  <c r="D179" i="4"/>
  <c r="D211" i="4"/>
  <c r="D243" i="4"/>
  <c r="D275" i="4"/>
  <c r="D307" i="4"/>
  <c r="D339" i="4"/>
  <c r="D371" i="4"/>
  <c r="D403" i="4"/>
  <c r="D435" i="4"/>
  <c r="D467" i="4"/>
  <c r="C4" i="4"/>
  <c r="C36" i="4"/>
  <c r="C68" i="4"/>
  <c r="C100" i="4"/>
  <c r="C132" i="4"/>
  <c r="C164" i="4"/>
  <c r="C196" i="4"/>
  <c r="C228" i="4"/>
  <c r="C260" i="4"/>
  <c r="C292" i="4"/>
  <c r="C324" i="4"/>
  <c r="C356" i="4"/>
  <c r="C388" i="4"/>
  <c r="C420" i="4"/>
  <c r="C452" i="4"/>
  <c r="C484" i="4"/>
  <c r="D24" i="4"/>
  <c r="D56" i="4"/>
  <c r="D88" i="4"/>
  <c r="D120" i="4"/>
  <c r="D152" i="4"/>
  <c r="D184" i="4"/>
  <c r="D216" i="4"/>
  <c r="D248" i="4"/>
  <c r="D280" i="4"/>
  <c r="D312" i="4"/>
  <c r="D344" i="4"/>
  <c r="D376" i="4"/>
  <c r="D408" i="4"/>
  <c r="D440" i="4"/>
  <c r="D472" i="4"/>
  <c r="C13" i="4"/>
  <c r="C45" i="4"/>
  <c r="C77" i="4"/>
  <c r="C109" i="4"/>
  <c r="C141" i="4"/>
  <c r="C173" i="4"/>
  <c r="C205" i="4"/>
  <c r="C237" i="4"/>
  <c r="C269" i="4"/>
  <c r="C301" i="4"/>
  <c r="C333" i="4"/>
  <c r="C365" i="4"/>
  <c r="C397" i="4"/>
  <c r="C429" i="4"/>
  <c r="C461" i="4"/>
  <c r="C493" i="4"/>
  <c r="C34" i="4"/>
  <c r="C66" i="4"/>
  <c r="C98" i="4"/>
  <c r="C130" i="4"/>
  <c r="C162" i="4"/>
  <c r="C194" i="4"/>
  <c r="C226" i="4"/>
  <c r="C258" i="4"/>
  <c r="C290" i="4"/>
  <c r="C322" i="4"/>
  <c r="C354" i="4"/>
  <c r="C386" i="4"/>
  <c r="C418" i="4"/>
  <c r="C450" i="4"/>
  <c r="C482" i="4"/>
  <c r="D5" i="4"/>
  <c r="D141" i="4"/>
  <c r="D269" i="4"/>
  <c r="D397" i="4"/>
  <c r="D201" i="4"/>
  <c r="D314" i="4"/>
  <c r="D94" i="4"/>
  <c r="D222" i="4"/>
  <c r="D350" i="4"/>
  <c r="D478" i="4"/>
  <c r="D74" i="4"/>
  <c r="D49" i="4"/>
  <c r="D177" i="4"/>
  <c r="D305" i="4"/>
  <c r="D433" i="4"/>
  <c r="D474" i="4"/>
  <c r="D130" i="4"/>
  <c r="D258" i="4"/>
  <c r="D386" i="4"/>
  <c r="C11" i="4"/>
  <c r="C43" i="4"/>
  <c r="C75" i="4"/>
  <c r="C107" i="4"/>
  <c r="C139" i="4"/>
  <c r="C171" i="4"/>
  <c r="C203" i="4"/>
  <c r="C235" i="4"/>
  <c r="C267" i="4"/>
  <c r="C299" i="4"/>
  <c r="C331" i="4"/>
  <c r="C363" i="4"/>
  <c r="C395" i="4"/>
  <c r="C427" i="4"/>
  <c r="C459" i="4"/>
  <c r="C491" i="4"/>
  <c r="D27" i="4"/>
  <c r="D59" i="4"/>
  <c r="D91" i="4"/>
  <c r="D123" i="4"/>
  <c r="D155" i="4"/>
  <c r="D187" i="4"/>
  <c r="D219" i="4"/>
  <c r="D251" i="4"/>
  <c r="D283" i="4"/>
  <c r="D315" i="4"/>
  <c r="D347" i="4"/>
  <c r="D379" i="4"/>
  <c r="D411" i="4"/>
  <c r="D443" i="4"/>
  <c r="D475" i="4"/>
  <c r="C12" i="4"/>
  <c r="C44" i="4"/>
  <c r="C76" i="4"/>
  <c r="C108" i="4"/>
  <c r="C140" i="4"/>
  <c r="C172" i="4"/>
  <c r="C204" i="4"/>
  <c r="C236" i="4"/>
  <c r="C268" i="4"/>
  <c r="C300" i="4"/>
  <c r="C332" i="4"/>
  <c r="C364" i="4"/>
  <c r="C396" i="4"/>
  <c r="C428" i="4"/>
  <c r="C460" i="4"/>
  <c r="C492" i="4"/>
  <c r="D32" i="4"/>
  <c r="D64" i="4"/>
  <c r="D96" i="4"/>
  <c r="D128" i="4"/>
  <c r="D160" i="4"/>
  <c r="D192" i="4"/>
  <c r="D224" i="4"/>
  <c r="D256" i="4"/>
  <c r="D288" i="4"/>
  <c r="D320" i="4"/>
  <c r="D352" i="4"/>
  <c r="D384" i="4"/>
  <c r="D416" i="4"/>
  <c r="D448" i="4"/>
  <c r="D480" i="4"/>
  <c r="C21" i="4"/>
  <c r="C53" i="4"/>
  <c r="C85" i="4"/>
  <c r="C117" i="4"/>
  <c r="C149" i="4"/>
  <c r="C181" i="4"/>
  <c r="C213" i="4"/>
  <c r="C245" i="4"/>
  <c r="C277" i="4"/>
  <c r="C309" i="4"/>
  <c r="C341" i="4"/>
  <c r="C373" i="4"/>
  <c r="C405" i="4"/>
  <c r="C437" i="4"/>
  <c r="C469" i="4"/>
  <c r="C10" i="4"/>
  <c r="C42" i="4"/>
  <c r="C74" i="4"/>
  <c r="C106" i="4"/>
  <c r="C138" i="4"/>
  <c r="C170" i="4"/>
  <c r="C202" i="4"/>
  <c r="C234" i="4"/>
  <c r="C266" i="4"/>
  <c r="C298" i="4"/>
  <c r="C330" i="4"/>
  <c r="C362" i="4"/>
  <c r="C394" i="4"/>
  <c r="C426" i="4"/>
  <c r="C458" i="4"/>
  <c r="C490" i="4"/>
  <c r="D45" i="4"/>
  <c r="D173" i="4"/>
  <c r="D301" i="4"/>
  <c r="D429" i="4"/>
  <c r="D377" i="4"/>
  <c r="D410" i="4"/>
  <c r="D126" i="4"/>
  <c r="D254" i="4"/>
  <c r="D382" i="4"/>
  <c r="D57" i="4"/>
  <c r="D234" i="4"/>
  <c r="D81" i="4"/>
  <c r="D209" i="4"/>
  <c r="D337" i="4"/>
  <c r="D465" i="4"/>
  <c r="D34" i="4"/>
  <c r="D162" i="4"/>
  <c r="D290" i="4"/>
  <c r="D418" i="4"/>
  <c r="D361" i="4"/>
  <c r="D490" i="4"/>
  <c r="D133" i="4"/>
  <c r="D261" i="4"/>
  <c r="D389" i="4"/>
  <c r="D153" i="4"/>
  <c r="D54" i="4"/>
  <c r="D182" i="4"/>
  <c r="D310" i="4"/>
  <c r="D438" i="4"/>
  <c r="D393" i="4"/>
  <c r="D2" i="4"/>
  <c r="C27" i="3"/>
  <c r="C59" i="3"/>
  <c r="C91" i="3"/>
  <c r="C19" i="4"/>
  <c r="C51" i="4"/>
  <c r="C83" i="4"/>
  <c r="C115" i="4"/>
  <c r="C147" i="4"/>
  <c r="C179" i="4"/>
  <c r="C211" i="4"/>
  <c r="C243" i="4"/>
  <c r="C275" i="4"/>
  <c r="C307" i="4"/>
  <c r="C339" i="4"/>
  <c r="C371" i="4"/>
  <c r="C403" i="4"/>
  <c r="C435" i="4"/>
  <c r="C467" i="4"/>
  <c r="D3" i="4"/>
  <c r="D35" i="4"/>
  <c r="D67" i="4"/>
  <c r="D99" i="4"/>
  <c r="D131" i="4"/>
  <c r="D163" i="4"/>
  <c r="D195" i="4"/>
  <c r="D227" i="4"/>
  <c r="D259" i="4"/>
  <c r="D291" i="4"/>
  <c r="D323" i="4"/>
  <c r="D355" i="4"/>
  <c r="D387" i="4"/>
  <c r="D419" i="4"/>
  <c r="D451" i="4"/>
  <c r="D483" i="4"/>
  <c r="C20" i="4"/>
  <c r="C52" i="4"/>
  <c r="C84" i="4"/>
  <c r="C116" i="4"/>
  <c r="C148" i="4"/>
  <c r="C180" i="4"/>
  <c r="C212" i="4"/>
  <c r="C244" i="4"/>
  <c r="C276" i="4"/>
  <c r="C308" i="4"/>
  <c r="C340" i="4"/>
  <c r="C372" i="4"/>
  <c r="C404" i="4"/>
  <c r="C436" i="4"/>
  <c r="C468" i="4"/>
  <c r="D8" i="4"/>
  <c r="D40" i="4"/>
  <c r="D72" i="4"/>
  <c r="D104" i="4"/>
  <c r="D136" i="4"/>
  <c r="D168" i="4"/>
  <c r="D200" i="4"/>
  <c r="D232" i="4"/>
  <c r="D264" i="4"/>
  <c r="D296" i="4"/>
  <c r="D328" i="4"/>
  <c r="D360" i="4"/>
  <c r="D392" i="4"/>
  <c r="D424" i="4"/>
  <c r="D456" i="4"/>
  <c r="D488" i="4"/>
  <c r="C29" i="4"/>
  <c r="C61" i="4"/>
  <c r="C93" i="4"/>
  <c r="C125" i="4"/>
  <c r="C157" i="4"/>
  <c r="C189" i="4"/>
  <c r="C221" i="4"/>
  <c r="C253" i="4"/>
  <c r="C285" i="4"/>
  <c r="C317" i="4"/>
  <c r="C349" i="4"/>
  <c r="C381" i="4"/>
  <c r="C413" i="4"/>
  <c r="C445" i="4"/>
  <c r="C477" i="4"/>
  <c r="C18" i="4"/>
  <c r="C50" i="4"/>
  <c r="C82" i="4"/>
  <c r="C114" i="4"/>
  <c r="C146" i="4"/>
  <c r="C178" i="4"/>
  <c r="C210" i="4"/>
  <c r="C242" i="4"/>
  <c r="C274" i="4"/>
  <c r="C306" i="4"/>
  <c r="C338" i="4"/>
  <c r="C370" i="4"/>
  <c r="C402" i="4"/>
  <c r="C434" i="4"/>
  <c r="C466" i="4"/>
  <c r="D6" i="4"/>
  <c r="D77" i="4"/>
  <c r="D205" i="4"/>
  <c r="D333" i="4"/>
  <c r="D461" i="4"/>
  <c r="D42" i="4"/>
  <c r="D30" i="4"/>
  <c r="D158" i="4"/>
  <c r="D286" i="4"/>
  <c r="D414" i="4"/>
  <c r="D185" i="4"/>
  <c r="D378" i="4"/>
  <c r="D113" i="4"/>
  <c r="D241" i="4"/>
  <c r="D369" i="4"/>
  <c r="D41" i="4"/>
  <c r="D66" i="4"/>
  <c r="D194" i="4"/>
  <c r="D322" i="4"/>
  <c r="D450" i="4"/>
  <c r="D26" i="4"/>
  <c r="D37" i="4"/>
  <c r="D165" i="4"/>
  <c r="D293" i="4"/>
  <c r="D421" i="4"/>
  <c r="D329" i="4"/>
  <c r="D86" i="4"/>
  <c r="C27" i="4"/>
  <c r="C59" i="4"/>
  <c r="C91" i="4"/>
  <c r="C123" i="4"/>
  <c r="C155" i="4"/>
  <c r="C187" i="4"/>
  <c r="C219" i="4"/>
  <c r="C251" i="4"/>
  <c r="C283" i="4"/>
  <c r="C315" i="4"/>
  <c r="C347" i="4"/>
  <c r="C379" i="4"/>
  <c r="C411" i="4"/>
  <c r="C443" i="4"/>
  <c r="C475" i="4"/>
  <c r="D11" i="4"/>
  <c r="D43" i="4"/>
  <c r="D75" i="4"/>
  <c r="D107" i="4"/>
  <c r="D139" i="4"/>
  <c r="D171" i="4"/>
  <c r="D203" i="4"/>
  <c r="D235" i="4"/>
  <c r="D267" i="4"/>
  <c r="D299" i="4"/>
  <c r="D331" i="4"/>
  <c r="D363" i="4"/>
  <c r="D395" i="4"/>
  <c r="D427" i="4"/>
  <c r="D459" i="4"/>
  <c r="D491" i="4"/>
  <c r="C28" i="4"/>
  <c r="C60" i="4"/>
  <c r="C92" i="4"/>
  <c r="C124" i="4"/>
  <c r="C156" i="4"/>
  <c r="C188" i="4"/>
  <c r="C220" i="4"/>
  <c r="C252" i="4"/>
  <c r="C284" i="4"/>
  <c r="C316" i="4"/>
  <c r="C348" i="4"/>
  <c r="C380" i="4"/>
  <c r="C412" i="4"/>
  <c r="C444" i="4"/>
  <c r="C476" i="4"/>
  <c r="D16" i="4"/>
  <c r="D48" i="4"/>
  <c r="D80" i="4"/>
  <c r="D112" i="4"/>
  <c r="D144" i="4"/>
  <c r="D176" i="4"/>
  <c r="D208" i="4"/>
  <c r="D240" i="4"/>
  <c r="D272" i="4"/>
  <c r="D304" i="4"/>
  <c r="D336" i="4"/>
  <c r="C55" i="4"/>
  <c r="C119" i="4"/>
  <c r="C183" i="4"/>
  <c r="C247" i="4"/>
  <c r="C311" i="4"/>
  <c r="C375" i="4"/>
  <c r="C439" i="4"/>
  <c r="D7" i="4"/>
  <c r="D71" i="4"/>
  <c r="D135" i="4"/>
  <c r="D199" i="4"/>
  <c r="D263" i="4"/>
  <c r="D327" i="4"/>
  <c r="D391" i="4"/>
  <c r="D455" i="4"/>
  <c r="C24" i="4"/>
  <c r="C88" i="4"/>
  <c r="C152" i="4"/>
  <c r="C216" i="4"/>
  <c r="C280" i="4"/>
  <c r="C344" i="4"/>
  <c r="C408" i="4"/>
  <c r="C472" i="4"/>
  <c r="D44" i="4"/>
  <c r="D108" i="4"/>
  <c r="D172" i="4"/>
  <c r="D236" i="4"/>
  <c r="D300" i="4"/>
  <c r="D364" i="4"/>
  <c r="D412" i="4"/>
  <c r="D464" i="4"/>
  <c r="C25" i="4"/>
  <c r="C73" i="4"/>
  <c r="C129" i="4"/>
  <c r="C177" i="4"/>
  <c r="C229" i="4"/>
  <c r="C281" i="4"/>
  <c r="C329" i="4"/>
  <c r="C385" i="4"/>
  <c r="C433" i="4"/>
  <c r="C485" i="4"/>
  <c r="C46" i="4"/>
  <c r="C94" i="4"/>
  <c r="C150" i="4"/>
  <c r="C198" i="4"/>
  <c r="C250" i="4"/>
  <c r="C302" i="4"/>
  <c r="C350" i="4"/>
  <c r="C406" i="4"/>
  <c r="C454" i="4"/>
  <c r="D14" i="4"/>
  <c r="D189" i="4"/>
  <c r="D381" i="4"/>
  <c r="D122" i="4"/>
  <c r="D110" i="4"/>
  <c r="D318" i="4"/>
  <c r="D121" i="4"/>
  <c r="D33" i="4"/>
  <c r="D257" i="4"/>
  <c r="D449" i="4"/>
  <c r="D98" i="4"/>
  <c r="D306" i="4"/>
  <c r="D105" i="4"/>
  <c r="D394" i="4"/>
  <c r="D181" i="4"/>
  <c r="D341" i="4"/>
  <c r="D25" i="4"/>
  <c r="D102" i="4"/>
  <c r="D246" i="4"/>
  <c r="D390" i="4"/>
  <c r="D217" i="4"/>
  <c r="D426" i="4"/>
  <c r="C31" i="3"/>
  <c r="C67" i="3"/>
  <c r="C103" i="3"/>
  <c r="C135" i="3"/>
  <c r="C167" i="3"/>
  <c r="C199" i="3"/>
  <c r="C231" i="3"/>
  <c r="C263" i="3"/>
  <c r="C295" i="3"/>
  <c r="C327" i="3"/>
  <c r="C359" i="3"/>
  <c r="C391" i="3"/>
  <c r="C423" i="3"/>
  <c r="C455" i="3"/>
  <c r="C487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C8" i="3"/>
  <c r="C40" i="3"/>
  <c r="C72" i="3"/>
  <c r="C104" i="3"/>
  <c r="C136" i="3"/>
  <c r="C168" i="3"/>
  <c r="C200" i="3"/>
  <c r="C232" i="3"/>
  <c r="C264" i="3"/>
  <c r="C296" i="3"/>
  <c r="C328" i="3"/>
  <c r="C360" i="3"/>
  <c r="C392" i="3"/>
  <c r="C424" i="3"/>
  <c r="C456" i="3"/>
  <c r="C488" i="3"/>
  <c r="D28" i="3"/>
  <c r="D60" i="3"/>
  <c r="D92" i="3"/>
  <c r="D124" i="3"/>
  <c r="D156" i="3"/>
  <c r="D188" i="3"/>
  <c r="D220" i="3"/>
  <c r="D252" i="3"/>
  <c r="D284" i="3"/>
  <c r="C7" i="4"/>
  <c r="C71" i="4"/>
  <c r="C135" i="4"/>
  <c r="C199" i="4"/>
  <c r="C263" i="4"/>
  <c r="C327" i="4"/>
  <c r="C391" i="4"/>
  <c r="C455" i="4"/>
  <c r="D23" i="4"/>
  <c r="D87" i="4"/>
  <c r="D151" i="4"/>
  <c r="D215" i="4"/>
  <c r="D279" i="4"/>
  <c r="D343" i="4"/>
  <c r="D407" i="4"/>
  <c r="D471" i="4"/>
  <c r="C40" i="4"/>
  <c r="C104" i="4"/>
  <c r="C168" i="4"/>
  <c r="C232" i="4"/>
  <c r="C296" i="4"/>
  <c r="C360" i="4"/>
  <c r="C424" i="4"/>
  <c r="C488" i="4"/>
  <c r="D60" i="4"/>
  <c r="D124" i="4"/>
  <c r="D188" i="4"/>
  <c r="D252" i="4"/>
  <c r="D316" i="4"/>
  <c r="D372" i="4"/>
  <c r="D428" i="4"/>
  <c r="D476" i="4"/>
  <c r="C37" i="4"/>
  <c r="C89" i="4"/>
  <c r="C137" i="4"/>
  <c r="C193" i="4"/>
  <c r="C241" i="4"/>
  <c r="C293" i="4"/>
  <c r="C345" i="4"/>
  <c r="C393" i="4"/>
  <c r="C449" i="4"/>
  <c r="C6" i="4"/>
  <c r="C58" i="4"/>
  <c r="C110" i="4"/>
  <c r="C158" i="4"/>
  <c r="C214" i="4"/>
  <c r="C262" i="4"/>
  <c r="C314" i="4"/>
  <c r="C366" i="4"/>
  <c r="C414" i="4"/>
  <c r="C470" i="4"/>
  <c r="D29" i="4"/>
  <c r="D237" i="4"/>
  <c r="D445" i="4"/>
  <c r="D250" i="4"/>
  <c r="D174" i="4"/>
  <c r="D366" i="4"/>
  <c r="D345" i="4"/>
  <c r="D97" i="4"/>
  <c r="D289" i="4"/>
  <c r="D281" i="4"/>
  <c r="D146" i="4"/>
  <c r="D354" i="4"/>
  <c r="D249" i="4"/>
  <c r="D53" i="4"/>
  <c r="D213" i="4"/>
  <c r="D373" i="4"/>
  <c r="D409" i="4"/>
  <c r="D134" i="4"/>
  <c r="D278" i="4"/>
  <c r="D422" i="4"/>
  <c r="D489" i="4"/>
  <c r="C3" i="3"/>
  <c r="C39" i="3"/>
  <c r="C75" i="3"/>
  <c r="C111" i="3"/>
  <c r="C143" i="3"/>
  <c r="C175" i="3"/>
  <c r="C207" i="3"/>
  <c r="C239" i="3"/>
  <c r="C271" i="3"/>
  <c r="C303" i="3"/>
  <c r="C335" i="3"/>
  <c r="C367" i="3"/>
  <c r="C399" i="3"/>
  <c r="C431" i="3"/>
  <c r="C463" i="3"/>
  <c r="C495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C16" i="3"/>
  <c r="C48" i="3"/>
  <c r="C80" i="3"/>
  <c r="C112" i="3"/>
  <c r="C144" i="3"/>
  <c r="C176" i="3"/>
  <c r="C208" i="3"/>
  <c r="C240" i="3"/>
  <c r="C272" i="3"/>
  <c r="C304" i="3"/>
  <c r="C336" i="3"/>
  <c r="C368" i="3"/>
  <c r="C400" i="3"/>
  <c r="C432" i="3"/>
  <c r="C464" i="3"/>
  <c r="D4" i="3"/>
  <c r="D36" i="3"/>
  <c r="D68" i="3"/>
  <c r="D100" i="3"/>
  <c r="D132" i="3"/>
  <c r="D164" i="3"/>
  <c r="D196" i="3"/>
  <c r="D228" i="3"/>
  <c r="D260" i="3"/>
  <c r="C15" i="4"/>
  <c r="C79" i="4"/>
  <c r="C143" i="4"/>
  <c r="C207" i="4"/>
  <c r="C271" i="4"/>
  <c r="C335" i="4"/>
  <c r="C399" i="4"/>
  <c r="C463" i="4"/>
  <c r="D31" i="4"/>
  <c r="D95" i="4"/>
  <c r="D159" i="4"/>
  <c r="D223" i="4"/>
  <c r="D287" i="4"/>
  <c r="D351" i="4"/>
  <c r="D415" i="4"/>
  <c r="D479" i="4"/>
  <c r="C48" i="4"/>
  <c r="C112" i="4"/>
  <c r="C176" i="4"/>
  <c r="C240" i="4"/>
  <c r="C304" i="4"/>
  <c r="C368" i="4"/>
  <c r="C432" i="4"/>
  <c r="D4" i="4"/>
  <c r="D68" i="4"/>
  <c r="D132" i="4"/>
  <c r="D196" i="4"/>
  <c r="D260" i="4"/>
  <c r="D324" i="4"/>
  <c r="D380" i="4"/>
  <c r="D432" i="4"/>
  <c r="D484" i="4"/>
  <c r="C41" i="4"/>
  <c r="C97" i="4"/>
  <c r="C145" i="4"/>
  <c r="C197" i="4"/>
  <c r="C249" i="4"/>
  <c r="C297" i="4"/>
  <c r="C353" i="4"/>
  <c r="C401" i="4"/>
  <c r="C453" i="4"/>
  <c r="C14" i="4"/>
  <c r="C62" i="4"/>
  <c r="C118" i="4"/>
  <c r="C166" i="4"/>
  <c r="C218" i="4"/>
  <c r="C270" i="4"/>
  <c r="C318" i="4"/>
  <c r="C374" i="4"/>
  <c r="C422" i="4"/>
  <c r="C474" i="4"/>
  <c r="D61" i="4"/>
  <c r="D253" i="4"/>
  <c r="D477" i="4"/>
  <c r="D362" i="4"/>
  <c r="D190" i="4"/>
  <c r="D398" i="4"/>
  <c r="D425" i="4"/>
  <c r="D129" i="4"/>
  <c r="D321" i="4"/>
  <c r="D441" i="4"/>
  <c r="D178" i="4"/>
  <c r="D370" i="4"/>
  <c r="D473" i="4"/>
  <c r="D69" i="4"/>
  <c r="D229" i="4"/>
  <c r="D405" i="4"/>
  <c r="D90" i="4"/>
  <c r="D150" i="4"/>
  <c r="D294" i="4"/>
  <c r="D454" i="4"/>
  <c r="D58" i="4"/>
  <c r="C7" i="3"/>
  <c r="C43" i="3"/>
  <c r="C79" i="3"/>
  <c r="C115" i="3"/>
  <c r="C147" i="3"/>
  <c r="C179" i="3"/>
  <c r="C211" i="3"/>
  <c r="C243" i="3"/>
  <c r="C39" i="4"/>
  <c r="C151" i="4"/>
  <c r="C239" i="4"/>
  <c r="C351" i="4"/>
  <c r="C447" i="4"/>
  <c r="D55" i="4"/>
  <c r="D167" i="4"/>
  <c r="D255" i="4"/>
  <c r="D367" i="4"/>
  <c r="D463" i="4"/>
  <c r="C72" i="4"/>
  <c r="C184" i="4"/>
  <c r="C272" i="4"/>
  <c r="C384" i="4"/>
  <c r="C480" i="4"/>
  <c r="D92" i="4"/>
  <c r="D204" i="4"/>
  <c r="D292" i="4"/>
  <c r="D396" i="4"/>
  <c r="D468" i="4"/>
  <c r="C65" i="4"/>
  <c r="C153" i="4"/>
  <c r="C225" i="4"/>
  <c r="C313" i="4"/>
  <c r="C389" i="4"/>
  <c r="C473" i="4"/>
  <c r="C70" i="4"/>
  <c r="C142" i="4"/>
  <c r="C230" i="4"/>
  <c r="C310" i="4"/>
  <c r="C390" i="4"/>
  <c r="C478" i="4"/>
  <c r="D157" i="4"/>
  <c r="D89" i="4"/>
  <c r="D142" i="4"/>
  <c r="D462" i="4"/>
  <c r="D145" i="4"/>
  <c r="D417" i="4"/>
  <c r="D226" i="4"/>
  <c r="D169" i="4"/>
  <c r="D117" i="4"/>
  <c r="D437" i="4"/>
  <c r="D70" i="4"/>
  <c r="D342" i="4"/>
  <c r="D313" i="4"/>
  <c r="C19" i="3"/>
  <c r="C83" i="3"/>
  <c r="C131" i="3"/>
  <c r="C187" i="3"/>
  <c r="C235" i="3"/>
  <c r="C283" i="3"/>
  <c r="C323" i="3"/>
  <c r="C371" i="3"/>
  <c r="C411" i="3"/>
  <c r="C451" i="3"/>
  <c r="D3" i="3"/>
  <c r="D43" i="3"/>
  <c r="D83" i="3"/>
  <c r="D131" i="3"/>
  <c r="D171" i="3"/>
  <c r="D211" i="3"/>
  <c r="D259" i="3"/>
  <c r="D299" i="3"/>
  <c r="D339" i="3"/>
  <c r="D387" i="3"/>
  <c r="D427" i="3"/>
  <c r="D467" i="3"/>
  <c r="C20" i="3"/>
  <c r="C60" i="3"/>
  <c r="C100" i="3"/>
  <c r="C148" i="3"/>
  <c r="C188" i="3"/>
  <c r="C228" i="3"/>
  <c r="C276" i="3"/>
  <c r="C316" i="3"/>
  <c r="C356" i="3"/>
  <c r="C404" i="3"/>
  <c r="C444" i="3"/>
  <c r="C484" i="3"/>
  <c r="D40" i="3"/>
  <c r="D80" i="3"/>
  <c r="D120" i="3"/>
  <c r="D168" i="3"/>
  <c r="D208" i="3"/>
  <c r="D248" i="3"/>
  <c r="D292" i="3"/>
  <c r="D324" i="3"/>
  <c r="D356" i="3"/>
  <c r="D388" i="3"/>
  <c r="D420" i="3"/>
  <c r="D452" i="3"/>
  <c r="D484" i="3"/>
  <c r="C25" i="3"/>
  <c r="C57" i="3"/>
  <c r="C89" i="3"/>
  <c r="C121" i="3"/>
  <c r="C153" i="3"/>
  <c r="C185" i="3"/>
  <c r="C217" i="3"/>
  <c r="C249" i="3"/>
  <c r="C281" i="3"/>
  <c r="C313" i="3"/>
  <c r="C345" i="3"/>
  <c r="C377" i="3"/>
  <c r="C409" i="3"/>
  <c r="C441" i="3"/>
  <c r="C473" i="3"/>
  <c r="D13" i="3"/>
  <c r="C30" i="3"/>
  <c r="C62" i="3"/>
  <c r="C94" i="3"/>
  <c r="C126" i="3"/>
  <c r="C158" i="3"/>
  <c r="C190" i="3"/>
  <c r="C222" i="3"/>
  <c r="C254" i="3"/>
  <c r="C286" i="3"/>
  <c r="C318" i="3"/>
  <c r="C350" i="3"/>
  <c r="C382" i="3"/>
  <c r="C414" i="3"/>
  <c r="C446" i="3"/>
  <c r="C478" i="3"/>
  <c r="D18" i="3"/>
  <c r="D50" i="3"/>
  <c r="D82" i="3"/>
  <c r="D114" i="3"/>
  <c r="C63" i="4"/>
  <c r="C167" i="4"/>
  <c r="C279" i="4"/>
  <c r="C367" i="4"/>
  <c r="C479" i="4"/>
  <c r="D79" i="4"/>
  <c r="D183" i="4"/>
  <c r="D295" i="4"/>
  <c r="D383" i="4"/>
  <c r="D495" i="4"/>
  <c r="C96" i="4"/>
  <c r="C200" i="4"/>
  <c r="C312" i="4"/>
  <c r="C400" i="4"/>
  <c r="D20" i="4"/>
  <c r="D116" i="4"/>
  <c r="D220" i="4"/>
  <c r="D332" i="4"/>
  <c r="D404" i="4"/>
  <c r="C5" i="4"/>
  <c r="C81" i="4"/>
  <c r="C165" i="4"/>
  <c r="C257" i="4"/>
  <c r="C325" i="4"/>
  <c r="C417" i="4"/>
  <c r="C489" i="4"/>
  <c r="C86" i="4"/>
  <c r="C174" i="4"/>
  <c r="C246" i="4"/>
  <c r="C334" i="4"/>
  <c r="C410" i="4"/>
  <c r="C494" i="4"/>
  <c r="D285" i="4"/>
  <c r="D457" i="4"/>
  <c r="D238" i="4"/>
  <c r="D265" i="4"/>
  <c r="D193" i="4"/>
  <c r="D106" i="4"/>
  <c r="D274" i="4"/>
  <c r="D202" i="4"/>
  <c r="D197" i="4"/>
  <c r="D469" i="4"/>
  <c r="D166" i="4"/>
  <c r="D374" i="4"/>
  <c r="D218" i="4"/>
  <c r="C35" i="3"/>
  <c r="C95" i="3"/>
  <c r="C151" i="3"/>
  <c r="C195" i="3"/>
  <c r="C251" i="3"/>
  <c r="C291" i="3"/>
  <c r="C339" i="3"/>
  <c r="C379" i="3"/>
  <c r="C419" i="3"/>
  <c r="C467" i="3"/>
  <c r="D11" i="3"/>
  <c r="D51" i="3"/>
  <c r="D99" i="3"/>
  <c r="D139" i="3"/>
  <c r="D179" i="3"/>
  <c r="D227" i="3"/>
  <c r="D267" i="3"/>
  <c r="D307" i="3"/>
  <c r="D355" i="3"/>
  <c r="D395" i="3"/>
  <c r="D435" i="3"/>
  <c r="D483" i="3"/>
  <c r="C28" i="3"/>
  <c r="C68" i="3"/>
  <c r="C116" i="3"/>
  <c r="C156" i="3"/>
  <c r="C196" i="3"/>
  <c r="C244" i="3"/>
  <c r="C284" i="3"/>
  <c r="C324" i="3"/>
  <c r="C372" i="3"/>
  <c r="C412" i="3"/>
  <c r="C452" i="3"/>
  <c r="D8" i="3"/>
  <c r="D48" i="3"/>
  <c r="D88" i="3"/>
  <c r="D136" i="3"/>
  <c r="D176" i="3"/>
  <c r="D216" i="3"/>
  <c r="D264" i="3"/>
  <c r="D300" i="3"/>
  <c r="D332" i="3"/>
  <c r="D364" i="3"/>
  <c r="D396" i="3"/>
  <c r="D428" i="3"/>
  <c r="D460" i="3"/>
  <c r="D492" i="3"/>
  <c r="C33" i="3"/>
  <c r="C65" i="3"/>
  <c r="C97" i="3"/>
  <c r="C129" i="3"/>
  <c r="C161" i="3"/>
  <c r="C193" i="3"/>
  <c r="C225" i="3"/>
  <c r="C257" i="3"/>
  <c r="C289" i="3"/>
  <c r="C321" i="3"/>
  <c r="C353" i="3"/>
  <c r="C385" i="3"/>
  <c r="C417" i="3"/>
  <c r="C449" i="3"/>
  <c r="C481" i="3"/>
  <c r="C6" i="3"/>
  <c r="C38" i="3"/>
  <c r="C70" i="3"/>
  <c r="C102" i="3"/>
  <c r="C134" i="3"/>
  <c r="C166" i="3"/>
  <c r="C198" i="3"/>
  <c r="C230" i="3"/>
  <c r="C262" i="3"/>
  <c r="C294" i="3"/>
  <c r="C95" i="4"/>
  <c r="C191" i="4"/>
  <c r="C295" i="4"/>
  <c r="C407" i="4"/>
  <c r="C495" i="4"/>
  <c r="D111" i="4"/>
  <c r="D207" i="4"/>
  <c r="D311" i="4"/>
  <c r="D423" i="4"/>
  <c r="C16" i="4"/>
  <c r="C128" i="4"/>
  <c r="C224" i="4"/>
  <c r="C328" i="4"/>
  <c r="C440" i="4"/>
  <c r="D36" i="4"/>
  <c r="D148" i="4"/>
  <c r="D244" i="4"/>
  <c r="D348" i="4"/>
  <c r="D436" i="4"/>
  <c r="C17" i="4"/>
  <c r="C105" i="4"/>
  <c r="C185" i="4"/>
  <c r="C265" i="4"/>
  <c r="C357" i="4"/>
  <c r="C425" i="4"/>
  <c r="C26" i="4"/>
  <c r="C102" i="4"/>
  <c r="C186" i="4"/>
  <c r="C278" i="4"/>
  <c r="C346" i="4"/>
  <c r="C438" i="4"/>
  <c r="D18" i="4"/>
  <c r="D349" i="4"/>
  <c r="D9" i="4"/>
  <c r="D302" i="4"/>
  <c r="D298" i="4"/>
  <c r="D273" i="4"/>
  <c r="D50" i="4"/>
  <c r="D402" i="4"/>
  <c r="D330" i="4"/>
  <c r="D277" i="4"/>
  <c r="D233" i="4"/>
  <c r="D214" i="4"/>
  <c r="D470" i="4"/>
  <c r="D346" i="4"/>
  <c r="C51" i="3"/>
  <c r="C107" i="3"/>
  <c r="C159" i="3"/>
  <c r="C215" i="3"/>
  <c r="C259" i="3"/>
  <c r="C307" i="3"/>
  <c r="C347" i="3"/>
  <c r="C387" i="3"/>
  <c r="C435" i="3"/>
  <c r="C475" i="3"/>
  <c r="D19" i="3"/>
  <c r="D67" i="3"/>
  <c r="D107" i="3"/>
  <c r="D147" i="3"/>
  <c r="D195" i="3"/>
  <c r="D235" i="3"/>
  <c r="D275" i="3"/>
  <c r="D323" i="3"/>
  <c r="D363" i="3"/>
  <c r="D403" i="3"/>
  <c r="D451" i="3"/>
  <c r="D491" i="3"/>
  <c r="C36" i="3"/>
  <c r="C84" i="3"/>
  <c r="C124" i="3"/>
  <c r="C164" i="3"/>
  <c r="C212" i="3"/>
  <c r="C252" i="3"/>
  <c r="C292" i="3"/>
  <c r="C340" i="3"/>
  <c r="C380" i="3"/>
  <c r="C420" i="3"/>
  <c r="C468" i="3"/>
  <c r="D16" i="3"/>
  <c r="D56" i="3"/>
  <c r="D104" i="3"/>
  <c r="D144" i="3"/>
  <c r="D184" i="3"/>
  <c r="D232" i="3"/>
  <c r="D272" i="3"/>
  <c r="D308" i="3"/>
  <c r="D340" i="3"/>
  <c r="D372" i="3"/>
  <c r="D404" i="3"/>
  <c r="D436" i="3"/>
  <c r="D468" i="3"/>
  <c r="C9" i="3"/>
  <c r="C41" i="3"/>
  <c r="C73" i="3"/>
  <c r="C105" i="3"/>
  <c r="C137" i="3"/>
  <c r="C169" i="3"/>
  <c r="C201" i="3"/>
  <c r="C233" i="3"/>
  <c r="C265" i="3"/>
  <c r="C297" i="3"/>
  <c r="C329" i="3"/>
  <c r="C361" i="3"/>
  <c r="C393" i="3"/>
  <c r="C425" i="3"/>
  <c r="C457" i="3"/>
  <c r="C489" i="3"/>
  <c r="C14" i="3"/>
  <c r="C46" i="3"/>
  <c r="C78" i="3"/>
  <c r="C110" i="3"/>
  <c r="C142" i="3"/>
  <c r="C174" i="3"/>
  <c r="C206" i="3"/>
  <c r="C238" i="3"/>
  <c r="C270" i="3"/>
  <c r="C302" i="3"/>
  <c r="C334" i="3"/>
  <c r="C23" i="4"/>
  <c r="C175" i="4"/>
  <c r="C343" i="4"/>
  <c r="D15" i="4"/>
  <c r="D175" i="4"/>
  <c r="D335" i="4"/>
  <c r="C8" i="4"/>
  <c r="C160" i="4"/>
  <c r="C336" i="4"/>
  <c r="D12" i="4"/>
  <c r="D164" i="4"/>
  <c r="D340" i="4"/>
  <c r="D460" i="4"/>
  <c r="C113" i="4"/>
  <c r="C233" i="4"/>
  <c r="C369" i="4"/>
  <c r="C22" i="4"/>
  <c r="C134" i="4"/>
  <c r="C282" i="4"/>
  <c r="C398" i="4"/>
  <c r="D109" i="4"/>
  <c r="D186" i="4"/>
  <c r="D446" i="4"/>
  <c r="D353" i="4"/>
  <c r="D242" i="4"/>
  <c r="D85" i="4"/>
  <c r="D485" i="4"/>
  <c r="D326" i="4"/>
  <c r="C2" i="4"/>
  <c r="C87" i="3"/>
  <c r="C171" i="3"/>
  <c r="C255" i="3"/>
  <c r="C319" i="3"/>
  <c r="C395" i="3"/>
  <c r="C459" i="3"/>
  <c r="D35" i="3"/>
  <c r="D103" i="3"/>
  <c r="D167" i="3"/>
  <c r="D239" i="3"/>
  <c r="D303" i="3"/>
  <c r="D371" i="3"/>
  <c r="D443" i="3"/>
  <c r="C12" i="3"/>
  <c r="C88" i="3"/>
  <c r="C152" i="3"/>
  <c r="C220" i="3"/>
  <c r="C288" i="3"/>
  <c r="C352" i="3"/>
  <c r="C428" i="3"/>
  <c r="C492" i="3"/>
  <c r="D72" i="3"/>
  <c r="D140" i="3"/>
  <c r="D204" i="3"/>
  <c r="D276" i="3"/>
  <c r="D328" i="3"/>
  <c r="D380" i="3"/>
  <c r="D432" i="3"/>
  <c r="D480" i="3"/>
  <c r="C45" i="3"/>
  <c r="C93" i="3"/>
  <c r="C145" i="3"/>
  <c r="C197" i="3"/>
  <c r="C245" i="3"/>
  <c r="C301" i="3"/>
  <c r="C349" i="3"/>
  <c r="C401" i="3"/>
  <c r="C453" i="3"/>
  <c r="D9" i="3"/>
  <c r="C50" i="3"/>
  <c r="C98" i="3"/>
  <c r="C150" i="3"/>
  <c r="C202" i="3"/>
  <c r="C250" i="3"/>
  <c r="C306" i="3"/>
  <c r="C346" i="3"/>
  <c r="C386" i="3"/>
  <c r="C422" i="3"/>
  <c r="C458" i="3"/>
  <c r="C494" i="3"/>
  <c r="D38" i="3"/>
  <c r="D74" i="3"/>
  <c r="D110" i="3"/>
  <c r="D146" i="3"/>
  <c r="D178" i="3"/>
  <c r="D210" i="3"/>
  <c r="D242" i="3"/>
  <c r="D274" i="3"/>
  <c r="D306" i="3"/>
  <c r="D338" i="3"/>
  <c r="D370" i="3"/>
  <c r="D402" i="3"/>
  <c r="D434" i="3"/>
  <c r="D466" i="3"/>
  <c r="D21" i="3"/>
  <c r="D309" i="3"/>
  <c r="D89" i="3"/>
  <c r="D345" i="3"/>
  <c r="D125" i="3"/>
  <c r="D381" i="3"/>
  <c r="D161" i="3"/>
  <c r="D417" i="3"/>
  <c r="D197" i="3"/>
  <c r="D453" i="3"/>
  <c r="D233" i="3"/>
  <c r="D489" i="3"/>
  <c r="D269" i="3"/>
  <c r="D49" i="3"/>
  <c r="D305" i="3"/>
  <c r="C2" i="3"/>
  <c r="C31" i="4"/>
  <c r="C215" i="4"/>
  <c r="C359" i="4"/>
  <c r="D39" i="4"/>
  <c r="D191" i="4"/>
  <c r="D359" i="4"/>
  <c r="C32" i="4"/>
  <c r="C192" i="4"/>
  <c r="C352" i="4"/>
  <c r="D28" i="4"/>
  <c r="D180" i="4"/>
  <c r="D356" i="4"/>
  <c r="D492" i="4"/>
  <c r="C121" i="4"/>
  <c r="C261" i="4"/>
  <c r="C377" i="4"/>
  <c r="C30" i="4"/>
  <c r="C154" i="4"/>
  <c r="C286" i="4"/>
  <c r="C430" i="4"/>
  <c r="D125" i="4"/>
  <c r="D46" i="4"/>
  <c r="D494" i="4"/>
  <c r="D385" i="4"/>
  <c r="D338" i="4"/>
  <c r="D101" i="4"/>
  <c r="D458" i="4"/>
  <c r="D358" i="4"/>
  <c r="C11" i="3"/>
  <c r="C99" i="3"/>
  <c r="C183" i="3"/>
  <c r="C267" i="3"/>
  <c r="C331" i="3"/>
  <c r="C403" i="3"/>
  <c r="C471" i="3"/>
  <c r="D39" i="3"/>
  <c r="D111" i="3"/>
  <c r="D175" i="3"/>
  <c r="D243" i="3"/>
  <c r="D315" i="3"/>
  <c r="D379" i="3"/>
  <c r="D455" i="3"/>
  <c r="C24" i="3"/>
  <c r="C92" i="3"/>
  <c r="C160" i="3"/>
  <c r="C224" i="3"/>
  <c r="C300" i="3"/>
  <c r="C364" i="3"/>
  <c r="C436" i="3"/>
  <c r="D12" i="3"/>
  <c r="D76" i="3"/>
  <c r="D148" i="3"/>
  <c r="D212" i="3"/>
  <c r="D280" i="3"/>
  <c r="D336" i="3"/>
  <c r="D384" i="3"/>
  <c r="D440" i="3"/>
  <c r="D488" i="3"/>
  <c r="C49" i="3"/>
  <c r="C101" i="3"/>
  <c r="C149" i="3"/>
  <c r="C205" i="3"/>
  <c r="C253" i="3"/>
  <c r="C305" i="3"/>
  <c r="C357" i="3"/>
  <c r="C405" i="3"/>
  <c r="C461" i="3"/>
  <c r="D17" i="3"/>
  <c r="C54" i="3"/>
  <c r="C106" i="3"/>
  <c r="C154" i="3"/>
  <c r="C210" i="3"/>
  <c r="C258" i="3"/>
  <c r="C310" i="3"/>
  <c r="C354" i="3"/>
  <c r="C390" i="3"/>
  <c r="C426" i="3"/>
  <c r="C462" i="3"/>
  <c r="D6" i="3"/>
  <c r="D42" i="3"/>
  <c r="D78" i="3"/>
  <c r="D118" i="3"/>
  <c r="D150" i="3"/>
  <c r="D182" i="3"/>
  <c r="D214" i="3"/>
  <c r="D246" i="3"/>
  <c r="D278" i="3"/>
  <c r="D310" i="3"/>
  <c r="D342" i="3"/>
  <c r="D374" i="3"/>
  <c r="D406" i="3"/>
  <c r="D438" i="3"/>
  <c r="D470" i="3"/>
  <c r="D53" i="3"/>
  <c r="D341" i="3"/>
  <c r="D121" i="3"/>
  <c r="D377" i="3"/>
  <c r="D157" i="3"/>
  <c r="D413" i="3"/>
  <c r="D193" i="3"/>
  <c r="D449" i="3"/>
  <c r="D229" i="3"/>
  <c r="D485" i="3"/>
  <c r="D265" i="3"/>
  <c r="D45" i="3"/>
  <c r="D301" i="3"/>
  <c r="D81" i="3"/>
  <c r="D337" i="3"/>
  <c r="C47" i="4"/>
  <c r="C223" i="4"/>
  <c r="C383" i="4"/>
  <c r="D47" i="4"/>
  <c r="D231" i="4"/>
  <c r="D375" i="4"/>
  <c r="C56" i="4"/>
  <c r="C208" i="4"/>
  <c r="C376" i="4"/>
  <c r="D52" i="4"/>
  <c r="D212" i="4"/>
  <c r="D368" i="4"/>
  <c r="C9" i="4"/>
  <c r="C133" i="4"/>
  <c r="C273" i="4"/>
  <c r="C409" i="4"/>
  <c r="C38" i="4"/>
  <c r="C182" i="4"/>
  <c r="C294" i="4"/>
  <c r="C442" i="4"/>
  <c r="D221" i="4"/>
  <c r="D62" i="4"/>
  <c r="D154" i="4"/>
  <c r="D401" i="4"/>
  <c r="D434" i="4"/>
  <c r="D149" i="4"/>
  <c r="D22" i="4"/>
  <c r="D406" i="4"/>
  <c r="C15" i="3"/>
  <c r="C119" i="3"/>
  <c r="C191" i="3"/>
  <c r="C275" i="3"/>
  <c r="C343" i="3"/>
  <c r="C407" i="3"/>
  <c r="C479" i="3"/>
  <c r="D47" i="3"/>
  <c r="D115" i="3"/>
  <c r="D187" i="3"/>
  <c r="D251" i="3"/>
  <c r="D327" i="3"/>
  <c r="D391" i="3"/>
  <c r="D459" i="3"/>
  <c r="C32" i="3"/>
  <c r="C96" i="3"/>
  <c r="C172" i="3"/>
  <c r="C236" i="3"/>
  <c r="C308" i="3"/>
  <c r="C376" i="3"/>
  <c r="C440" i="3"/>
  <c r="D20" i="3"/>
  <c r="D84" i="3"/>
  <c r="D152" i="3"/>
  <c r="D224" i="3"/>
  <c r="D288" i="3"/>
  <c r="D344" i="3"/>
  <c r="D392" i="3"/>
  <c r="D444" i="3"/>
  <c r="C5" i="3"/>
  <c r="C53" i="3"/>
  <c r="C109" i="3"/>
  <c r="C157" i="3"/>
  <c r="C209" i="3"/>
  <c r="C261" i="3"/>
  <c r="C309" i="3"/>
  <c r="C365" i="3"/>
  <c r="C413" i="3"/>
  <c r="C465" i="3"/>
  <c r="C10" i="3"/>
  <c r="C58" i="3"/>
  <c r="C114" i="3"/>
  <c r="C162" i="3"/>
  <c r="C214" i="3"/>
  <c r="C266" i="3"/>
  <c r="C314" i="3"/>
  <c r="C358" i="3"/>
  <c r="C394" i="3"/>
  <c r="C430" i="3"/>
  <c r="C466" i="3"/>
  <c r="D10" i="3"/>
  <c r="D46" i="3"/>
  <c r="D86" i="3"/>
  <c r="D122" i="3"/>
  <c r="D154" i="3"/>
  <c r="D186" i="3"/>
  <c r="D218" i="3"/>
  <c r="D250" i="3"/>
  <c r="D282" i="3"/>
  <c r="D314" i="3"/>
  <c r="D346" i="3"/>
  <c r="D378" i="3"/>
  <c r="D410" i="3"/>
  <c r="D442" i="3"/>
  <c r="D474" i="3"/>
  <c r="D85" i="3"/>
  <c r="D373" i="3"/>
  <c r="D153" i="3"/>
  <c r="D409" i="3"/>
  <c r="D189" i="3"/>
  <c r="D445" i="3"/>
  <c r="D225" i="3"/>
  <c r="D481" i="3"/>
  <c r="D261" i="3"/>
  <c r="D41" i="3"/>
  <c r="D297" i="3"/>
  <c r="D77" i="3"/>
  <c r="D333" i="3"/>
  <c r="D113" i="3"/>
  <c r="D369" i="3"/>
  <c r="C103" i="4"/>
  <c r="C255" i="4"/>
  <c r="C423" i="4"/>
  <c r="D103" i="4"/>
  <c r="D247" i="4"/>
  <c r="D431" i="4"/>
  <c r="C80" i="4"/>
  <c r="C256" i="4"/>
  <c r="C416" i="4"/>
  <c r="D84" i="4"/>
  <c r="D268" i="4"/>
  <c r="D400" i="4"/>
  <c r="C49" i="4"/>
  <c r="C169" i="4"/>
  <c r="C305" i="4"/>
  <c r="C441" i="4"/>
  <c r="C78" i="4"/>
  <c r="C206" i="4"/>
  <c r="C342" i="4"/>
  <c r="C462" i="4"/>
  <c r="D365" i="4"/>
  <c r="D206" i="4"/>
  <c r="D13" i="4"/>
  <c r="D17" i="4"/>
  <c r="D482" i="4"/>
  <c r="D309" i="4"/>
  <c r="D118" i="4"/>
  <c r="D73" i="4"/>
  <c r="C47" i="3"/>
  <c r="C127" i="3"/>
  <c r="C219" i="3"/>
  <c r="C287" i="3"/>
  <c r="C355" i="3"/>
  <c r="C427" i="3"/>
  <c r="C491" i="3"/>
  <c r="D71" i="3"/>
  <c r="D135" i="3"/>
  <c r="D203" i="3"/>
  <c r="D271" i="3"/>
  <c r="D335" i="3"/>
  <c r="D411" i="3"/>
  <c r="D475" i="3"/>
  <c r="C52" i="3"/>
  <c r="C120" i="3"/>
  <c r="C184" i="3"/>
  <c r="C256" i="3"/>
  <c r="C320" i="3"/>
  <c r="C388" i="3"/>
  <c r="C460" i="3"/>
  <c r="D32" i="3"/>
  <c r="D108" i="3"/>
  <c r="D172" i="3"/>
  <c r="D240" i="3"/>
  <c r="D304" i="3"/>
  <c r="D352" i="3"/>
  <c r="D408" i="3"/>
  <c r="D456" i="3"/>
  <c r="C17" i="3"/>
  <c r="C69" i="3"/>
  <c r="C117" i="3"/>
  <c r="C173" i="3"/>
  <c r="C221" i="3"/>
  <c r="C273" i="3"/>
  <c r="C325" i="3"/>
  <c r="C373" i="3"/>
  <c r="C429" i="3"/>
  <c r="C477" i="3"/>
  <c r="C22" i="3"/>
  <c r="C74" i="3"/>
  <c r="C122" i="3"/>
  <c r="C178" i="3"/>
  <c r="C226" i="3"/>
  <c r="C278" i="3"/>
  <c r="C326" i="3"/>
  <c r="C366" i="3"/>
  <c r="C402" i="3"/>
  <c r="C438" i="3"/>
  <c r="C474" i="3"/>
  <c r="D22" i="3"/>
  <c r="D58" i="3"/>
  <c r="D94" i="3"/>
  <c r="D130" i="3"/>
  <c r="D162" i="3"/>
  <c r="D194" i="3"/>
  <c r="D226" i="3"/>
  <c r="D258" i="3"/>
  <c r="D290" i="3"/>
  <c r="D322" i="3"/>
  <c r="D354" i="3"/>
  <c r="D386" i="3"/>
  <c r="D418" i="3"/>
  <c r="D450" i="3"/>
  <c r="D482" i="3"/>
  <c r="D181" i="3"/>
  <c r="D437" i="3"/>
  <c r="D217" i="3"/>
  <c r="D473" i="3"/>
  <c r="D253" i="3"/>
  <c r="D33" i="3"/>
  <c r="D289" i="3"/>
  <c r="D69" i="3"/>
  <c r="D325" i="3"/>
  <c r="D105" i="3"/>
  <c r="D361" i="3"/>
  <c r="D141" i="3"/>
  <c r="D397" i="3"/>
  <c r="D177" i="3"/>
  <c r="D433" i="3"/>
  <c r="C231" i="4"/>
  <c r="D63" i="4"/>
  <c r="D399" i="4"/>
  <c r="C248" i="4"/>
  <c r="D76" i="4"/>
  <c r="D388" i="4"/>
  <c r="C161" i="4"/>
  <c r="C421" i="4"/>
  <c r="C190" i="4"/>
  <c r="C446" i="4"/>
  <c r="D78" i="4"/>
  <c r="D481" i="4"/>
  <c r="D245" i="4"/>
  <c r="D486" i="4"/>
  <c r="C123" i="3"/>
  <c r="C279" i="3"/>
  <c r="C415" i="3"/>
  <c r="D59" i="3"/>
  <c r="D199" i="3"/>
  <c r="D331" i="3"/>
  <c r="D463" i="3"/>
  <c r="C108" i="3"/>
  <c r="C248" i="3"/>
  <c r="C384" i="3"/>
  <c r="D24" i="3"/>
  <c r="D160" i="3"/>
  <c r="D296" i="3"/>
  <c r="D400" i="3"/>
  <c r="C13" i="3"/>
  <c r="C113" i="3"/>
  <c r="C213" i="3"/>
  <c r="C317" i="3"/>
  <c r="C421" i="3"/>
  <c r="C18" i="3"/>
  <c r="C118" i="3"/>
  <c r="C218" i="3"/>
  <c r="C322" i="3"/>
  <c r="C398" i="3"/>
  <c r="C470" i="3"/>
  <c r="D54" i="3"/>
  <c r="D126" i="3"/>
  <c r="D190" i="3"/>
  <c r="D254" i="3"/>
  <c r="D318" i="3"/>
  <c r="D382" i="3"/>
  <c r="D446" i="3"/>
  <c r="D149" i="3"/>
  <c r="D185" i="3"/>
  <c r="D221" i="3"/>
  <c r="D257" i="3"/>
  <c r="D293" i="3"/>
  <c r="D329" i="3"/>
  <c r="D365" i="3"/>
  <c r="D401" i="3"/>
  <c r="C303" i="4"/>
  <c r="D127" i="4"/>
  <c r="D447" i="4"/>
  <c r="C288" i="4"/>
  <c r="D140" i="4"/>
  <c r="D444" i="4"/>
  <c r="C209" i="4"/>
  <c r="C465" i="4"/>
  <c r="C238" i="4"/>
  <c r="D10" i="4"/>
  <c r="D334" i="4"/>
  <c r="D114" i="4"/>
  <c r="D357" i="4"/>
  <c r="D170" i="4"/>
  <c r="C155" i="3"/>
  <c r="C311" i="3"/>
  <c r="C443" i="3"/>
  <c r="D79" i="3"/>
  <c r="D219" i="3"/>
  <c r="D359" i="3"/>
  <c r="D495" i="3"/>
  <c r="C132" i="3"/>
  <c r="C268" i="3"/>
  <c r="C408" i="3"/>
  <c r="D52" i="3"/>
  <c r="D192" i="3"/>
  <c r="D316" i="3"/>
  <c r="D416" i="3"/>
  <c r="C29" i="3"/>
  <c r="C133" i="3"/>
  <c r="C237" i="3"/>
  <c r="C337" i="3"/>
  <c r="C437" i="3"/>
  <c r="C34" i="3"/>
  <c r="C138" i="3"/>
  <c r="C242" i="3"/>
  <c r="C338" i="3"/>
  <c r="C410" i="3"/>
  <c r="C486" i="3"/>
  <c r="D66" i="3"/>
  <c r="D138" i="3"/>
  <c r="D202" i="3"/>
  <c r="D266" i="3"/>
  <c r="D330" i="3"/>
  <c r="D394" i="3"/>
  <c r="D458" i="3"/>
  <c r="D245" i="3"/>
  <c r="D281" i="3"/>
  <c r="D317" i="3"/>
  <c r="D353" i="3"/>
  <c r="D389" i="3"/>
  <c r="D425" i="3"/>
  <c r="D461" i="3"/>
  <c r="D117" i="3"/>
  <c r="C111" i="4"/>
  <c r="C431" i="4"/>
  <c r="D271" i="4"/>
  <c r="C120" i="4"/>
  <c r="C448" i="4"/>
  <c r="D276" i="4"/>
  <c r="C57" i="4"/>
  <c r="C321" i="4"/>
  <c r="C90" i="4"/>
  <c r="C358" i="4"/>
  <c r="D413" i="4"/>
  <c r="D65" i="4"/>
  <c r="D138" i="4"/>
  <c r="D198" i="4"/>
  <c r="C55" i="3"/>
  <c r="C223" i="3"/>
  <c r="C363" i="3"/>
  <c r="D7" i="3"/>
  <c r="D143" i="3"/>
  <c r="D283" i="3"/>
  <c r="D419" i="3"/>
  <c r="C56" i="3"/>
  <c r="C192" i="3"/>
  <c r="C332" i="3"/>
  <c r="C472" i="3"/>
  <c r="D112" i="3"/>
  <c r="D244" i="3"/>
  <c r="D360" i="3"/>
  <c r="D464" i="3"/>
  <c r="C77" i="3"/>
  <c r="C177" i="3"/>
  <c r="C277" i="3"/>
  <c r="C381" i="3"/>
  <c r="C485" i="3"/>
  <c r="C82" i="3"/>
  <c r="C182" i="3"/>
  <c r="C282" i="3"/>
  <c r="C370" i="3"/>
  <c r="C442" i="3"/>
  <c r="D26" i="3"/>
  <c r="D98" i="3"/>
  <c r="D166" i="3"/>
  <c r="D230" i="3"/>
  <c r="D294" i="3"/>
  <c r="D358" i="3"/>
  <c r="D422" i="3"/>
  <c r="D486" i="3"/>
  <c r="D469" i="3"/>
  <c r="D29" i="3"/>
  <c r="D65" i="3"/>
  <c r="D101" i="3"/>
  <c r="D137" i="3"/>
  <c r="D173" i="3"/>
  <c r="D209" i="3"/>
  <c r="C87" i="4"/>
  <c r="D119" i="4"/>
  <c r="C136" i="4"/>
  <c r="D156" i="4"/>
  <c r="C101" i="4"/>
  <c r="C54" i="4"/>
  <c r="C486" i="4"/>
  <c r="D161" i="4"/>
  <c r="D453" i="4"/>
  <c r="C71" i="3"/>
  <c r="C351" i="3"/>
  <c r="D75" i="3"/>
  <c r="D291" i="3"/>
  <c r="C4" i="3"/>
  <c r="C216" i="3"/>
  <c r="C448" i="3"/>
  <c r="D180" i="3"/>
  <c r="D368" i="3"/>
  <c r="C37" i="3"/>
  <c r="C189" i="3"/>
  <c r="C369" i="3"/>
  <c r="C26" i="3"/>
  <c r="C186" i="3"/>
  <c r="C342" i="3"/>
  <c r="C454" i="3"/>
  <c r="D90" i="3"/>
  <c r="D198" i="3"/>
  <c r="D298" i="3"/>
  <c r="D398" i="3"/>
  <c r="D494" i="3"/>
  <c r="D441" i="3"/>
  <c r="D321" i="3"/>
  <c r="D169" i="3"/>
  <c r="D493" i="3"/>
  <c r="G7" i="1"/>
  <c r="D239" i="4"/>
  <c r="D284" i="4"/>
  <c r="C126" i="4"/>
  <c r="D82" i="4"/>
  <c r="C163" i="3"/>
  <c r="D123" i="3"/>
  <c r="C64" i="3"/>
  <c r="C480" i="3"/>
  <c r="D412" i="3"/>
  <c r="C241" i="3"/>
  <c r="C66" i="3"/>
  <c r="C374" i="3"/>
  <c r="D106" i="3"/>
  <c r="D326" i="3"/>
  <c r="D277" i="3"/>
  <c r="D37" i="3"/>
  <c r="D241" i="3"/>
  <c r="G5" i="1"/>
  <c r="D210" i="4"/>
  <c r="D155" i="3"/>
  <c r="C76" i="3"/>
  <c r="D256" i="3"/>
  <c r="C85" i="3"/>
  <c r="C86" i="3"/>
  <c r="D14" i="3"/>
  <c r="D234" i="3"/>
  <c r="D405" i="3"/>
  <c r="D457" i="3"/>
  <c r="G3" i="1"/>
  <c r="C456" i="4"/>
  <c r="D270" i="4"/>
  <c r="D207" i="3"/>
  <c r="D96" i="3"/>
  <c r="C293" i="3"/>
  <c r="D34" i="3"/>
  <c r="D57" i="3"/>
  <c r="C127" i="4"/>
  <c r="D143" i="4"/>
  <c r="C144" i="4"/>
  <c r="D228" i="4"/>
  <c r="C201" i="4"/>
  <c r="C122" i="4"/>
  <c r="D93" i="4"/>
  <c r="D225" i="4"/>
  <c r="D38" i="4"/>
  <c r="C139" i="3"/>
  <c r="C375" i="3"/>
  <c r="D91" i="3"/>
  <c r="D295" i="3"/>
  <c r="C44" i="3"/>
  <c r="C260" i="3"/>
  <c r="C476" i="3"/>
  <c r="D200" i="3"/>
  <c r="D376" i="3"/>
  <c r="C61" i="3"/>
  <c r="C229" i="3"/>
  <c r="C389" i="3"/>
  <c r="C42" i="3"/>
  <c r="C194" i="3"/>
  <c r="C362" i="3"/>
  <c r="C482" i="3"/>
  <c r="D102" i="3"/>
  <c r="D206" i="3"/>
  <c r="D302" i="3"/>
  <c r="D414" i="3"/>
  <c r="D213" i="3"/>
  <c r="D61" i="3"/>
  <c r="D385" i="3"/>
  <c r="D201" i="3"/>
  <c r="D145" i="3"/>
  <c r="G6" i="1"/>
  <c r="C159" i="4"/>
  <c r="C264" i="4"/>
  <c r="C217" i="4"/>
  <c r="D317" i="4"/>
  <c r="D230" i="4"/>
  <c r="C383" i="3"/>
  <c r="D347" i="3"/>
  <c r="C280" i="3"/>
  <c r="D236" i="3"/>
  <c r="C81" i="3"/>
  <c r="C397" i="3"/>
  <c r="C234" i="3"/>
  <c r="C490" i="3"/>
  <c r="D222" i="3"/>
  <c r="D426" i="3"/>
  <c r="D93" i="3"/>
  <c r="D393" i="3"/>
  <c r="C287" i="4"/>
  <c r="C320" i="4"/>
  <c r="D308" i="4"/>
  <c r="C289" i="4"/>
  <c r="C222" i="4"/>
  <c r="D262" i="4"/>
  <c r="C203" i="3"/>
  <c r="D367" i="3"/>
  <c r="C312" i="3"/>
  <c r="D424" i="3"/>
  <c r="C269" i="3"/>
  <c r="C246" i="3"/>
  <c r="D134" i="3"/>
  <c r="D334" i="3"/>
  <c r="D285" i="3"/>
  <c r="D273" i="3"/>
  <c r="C361" i="4"/>
  <c r="D282" i="4"/>
  <c r="D423" i="3"/>
  <c r="D312" i="3"/>
  <c r="C469" i="3"/>
  <c r="D158" i="3"/>
  <c r="D477" i="3"/>
  <c r="G4" i="1"/>
  <c r="C483" i="3"/>
  <c r="D472" i="3"/>
  <c r="C290" i="3"/>
  <c r="D262" i="3"/>
  <c r="D357" i="3"/>
  <c r="D303" i="4"/>
  <c r="D493" i="4"/>
  <c r="C439" i="3"/>
  <c r="D44" i="3"/>
  <c r="C433" i="3"/>
  <c r="C378" i="3"/>
  <c r="D430" i="3"/>
  <c r="D133" i="3"/>
  <c r="C415" i="4"/>
  <c r="D452" i="4"/>
  <c r="C326" i="4"/>
  <c r="C247" i="3"/>
  <c r="C140" i="3"/>
  <c r="C141" i="3"/>
  <c r="C418" i="3"/>
  <c r="D362" i="3"/>
  <c r="D205" i="3"/>
  <c r="C319" i="4"/>
  <c r="D319" i="4"/>
  <c r="C392" i="4"/>
  <c r="D420" i="4"/>
  <c r="C337" i="4"/>
  <c r="C254" i="4"/>
  <c r="D297" i="4"/>
  <c r="D466" i="4"/>
  <c r="D137" i="4"/>
  <c r="C227" i="3"/>
  <c r="C447" i="3"/>
  <c r="D163" i="3"/>
  <c r="D399" i="3"/>
  <c r="C128" i="3"/>
  <c r="C344" i="3"/>
  <c r="D64" i="3"/>
  <c r="D268" i="3"/>
  <c r="D448" i="3"/>
  <c r="C125" i="3"/>
  <c r="C285" i="3"/>
  <c r="C445" i="3"/>
  <c r="C90" i="3"/>
  <c r="C274" i="3"/>
  <c r="C406" i="3"/>
  <c r="D30" i="3"/>
  <c r="D142" i="3"/>
  <c r="D238" i="3"/>
  <c r="D350" i="3"/>
  <c r="D454" i="3"/>
  <c r="D25" i="3"/>
  <c r="D349" i="3"/>
  <c r="D165" i="3"/>
  <c r="D109" i="3"/>
  <c r="D465" i="3"/>
  <c r="D439" i="4"/>
  <c r="D266" i="4"/>
  <c r="C348" i="3"/>
  <c r="C130" i="3"/>
  <c r="D462" i="3"/>
  <c r="D2" i="3"/>
  <c r="C33" i="4"/>
  <c r="D21" i="4"/>
  <c r="D231" i="3"/>
  <c r="D116" i="3"/>
  <c r="C333" i="3"/>
  <c r="C434" i="3"/>
  <c r="D366" i="3"/>
  <c r="D421" i="3"/>
  <c r="G2" i="1"/>
  <c r="D325" i="4"/>
  <c r="C341" i="3"/>
  <c r="D128" i="3"/>
  <c r="C471" i="4"/>
  <c r="C457" i="4"/>
  <c r="C23" i="3"/>
  <c r="D431" i="3"/>
  <c r="D320" i="3"/>
  <c r="C493" i="3"/>
  <c r="D62" i="3"/>
  <c r="D478" i="3"/>
  <c r="D237" i="3"/>
  <c r="C315" i="3"/>
  <c r="C69" i="4"/>
  <c r="D263" i="3"/>
  <c r="C450" i="3"/>
  <c r="C487" i="4"/>
  <c r="C481" i="4"/>
  <c r="C63" i="3"/>
  <c r="D487" i="3"/>
  <c r="D348" i="3"/>
  <c r="D5" i="3"/>
  <c r="D70" i="3"/>
  <c r="D490" i="3"/>
  <c r="D429" i="3"/>
  <c r="C64" i="4"/>
  <c r="C382" i="4"/>
  <c r="C204" i="3"/>
  <c r="C170" i="3"/>
  <c r="D174" i="3"/>
  <c r="D313" i="3"/>
  <c r="D487" i="4"/>
  <c r="C378" i="4"/>
  <c r="C299" i="3"/>
  <c r="C180" i="3"/>
  <c r="D476" i="3"/>
  <c r="C146" i="3"/>
  <c r="D170" i="3"/>
  <c r="D249" i="3"/>
  <c r="C21" i="3"/>
  <c r="D73" i="3"/>
  <c r="C464" i="4"/>
  <c r="D430" i="4"/>
  <c r="D15" i="3"/>
  <c r="C396" i="3"/>
  <c r="C165" i="3"/>
  <c r="C298" i="3"/>
  <c r="D270" i="3"/>
  <c r="D97" i="3"/>
  <c r="D100" i="4"/>
  <c r="D442" i="4"/>
  <c r="D27" i="3"/>
  <c r="C416" i="3"/>
  <c r="C181" i="3"/>
  <c r="C330" i="3"/>
  <c r="D286" i="3"/>
  <c r="D129" i="3"/>
  <c r="D390" i="3"/>
  <c r="G2" i="6"/>
  <c r="G127" i="6"/>
  <c r="G383" i="6"/>
  <c r="H143" i="6"/>
  <c r="G195" i="6"/>
  <c r="G451" i="6"/>
  <c r="H211" i="6"/>
  <c r="G7" i="6"/>
  <c r="G263" i="6"/>
  <c r="H23" i="6"/>
  <c r="G15" i="6"/>
  <c r="G271" i="6"/>
  <c r="H31" i="6"/>
  <c r="G491" i="6"/>
  <c r="H363" i="6"/>
  <c r="G124" i="6"/>
  <c r="G380" i="6"/>
  <c r="H144" i="6"/>
  <c r="H400" i="6"/>
  <c r="G165" i="6"/>
  <c r="G421" i="6"/>
  <c r="H169" i="6"/>
  <c r="H425" i="6"/>
  <c r="G183" i="6"/>
  <c r="H171" i="6"/>
  <c r="H467" i="6"/>
  <c r="G228" i="6"/>
  <c r="G484" i="6"/>
  <c r="H248" i="6"/>
  <c r="G13" i="6"/>
  <c r="G269" i="6"/>
  <c r="H17" i="6"/>
  <c r="G211" i="6"/>
  <c r="H191" i="6"/>
  <c r="H479" i="6"/>
  <c r="G240" i="6"/>
  <c r="H4" i="6"/>
  <c r="H260" i="6"/>
  <c r="G25" i="6"/>
  <c r="G243" i="6"/>
  <c r="H391" i="6"/>
  <c r="G308" i="6"/>
  <c r="H224" i="6"/>
  <c r="G145" i="6"/>
  <c r="G481" i="6"/>
  <c r="H305" i="6"/>
  <c r="G414" i="6"/>
  <c r="G178" i="6"/>
  <c r="H358" i="6"/>
  <c r="G250" i="6"/>
  <c r="H159" i="6"/>
  <c r="H32" i="6"/>
  <c r="G321" i="6"/>
  <c r="H461" i="6"/>
  <c r="H258" i="6"/>
  <c r="G276" i="6"/>
  <c r="G413" i="6"/>
  <c r="H402" i="6"/>
  <c r="H38" i="6"/>
  <c r="H375" i="6"/>
  <c r="H129" i="6"/>
  <c r="H223" i="6"/>
  <c r="G160" i="6"/>
  <c r="H76" i="6"/>
  <c r="H488" i="6"/>
  <c r="G361" i="6"/>
  <c r="H193" i="6"/>
  <c r="H493" i="6"/>
  <c r="H462" i="6"/>
  <c r="H242" i="6"/>
  <c r="H198" i="6"/>
  <c r="G59" i="6"/>
  <c r="G268" i="6"/>
  <c r="G105" i="6"/>
  <c r="H277" i="6"/>
  <c r="G210" i="6"/>
  <c r="G282" i="6"/>
  <c r="G224" i="6"/>
  <c r="G373" i="6"/>
  <c r="H274" i="6"/>
  <c r="H378" i="6"/>
  <c r="G32" i="6"/>
  <c r="H289" i="6"/>
  <c r="G329" i="6"/>
  <c r="G14" i="6"/>
  <c r="G242" i="6"/>
  <c r="G169" i="6"/>
  <c r="H178" i="6"/>
  <c r="H396" i="6"/>
  <c r="H366" i="6"/>
  <c r="G334" i="6"/>
  <c r="G407" i="6"/>
  <c r="H45" i="6"/>
  <c r="H247" i="6"/>
  <c r="G180" i="6"/>
  <c r="H96" i="6"/>
  <c r="G17" i="6"/>
  <c r="G377" i="6"/>
  <c r="H213" i="6"/>
  <c r="H475" i="6"/>
  <c r="G258" i="6"/>
  <c r="H8" i="6"/>
  <c r="H441" i="6"/>
  <c r="G346" i="6"/>
  <c r="G140" i="6"/>
  <c r="H181" i="6"/>
  <c r="G406" i="6"/>
  <c r="G331" i="6"/>
  <c r="G181" i="6"/>
  <c r="G290" i="6"/>
  <c r="G404" i="6"/>
  <c r="H410" i="6"/>
  <c r="H263" i="6"/>
  <c r="G385" i="6"/>
  <c r="H322" i="6"/>
  <c r="G221" i="6"/>
  <c r="G244" i="6"/>
  <c r="H257" i="6"/>
  <c r="H342" i="6"/>
  <c r="G456" i="6"/>
  <c r="H409" i="6"/>
  <c r="G162" i="6"/>
  <c r="G159" i="6"/>
  <c r="G415" i="6"/>
  <c r="H175" i="6"/>
  <c r="G191" i="6"/>
  <c r="G447" i="6"/>
  <c r="H207" i="6"/>
  <c r="G3" i="6"/>
  <c r="G259" i="6"/>
  <c r="H19" i="6"/>
  <c r="H275" i="6"/>
  <c r="G71" i="6"/>
  <c r="G327" i="6"/>
  <c r="H87" i="6"/>
  <c r="G79" i="6"/>
  <c r="G335" i="6"/>
  <c r="H95" i="6"/>
  <c r="G107" i="6"/>
  <c r="H123" i="6"/>
  <c r="H427" i="6"/>
  <c r="G188" i="6"/>
  <c r="G444" i="6"/>
  <c r="H208" i="6"/>
  <c r="H464" i="6"/>
  <c r="G229" i="6"/>
  <c r="G485" i="6"/>
  <c r="H233" i="6"/>
  <c r="H489" i="6"/>
  <c r="G311" i="6"/>
  <c r="H259" i="6"/>
  <c r="G36" i="6"/>
  <c r="G292" i="6"/>
  <c r="H56" i="6"/>
  <c r="H312" i="6"/>
  <c r="G77" i="6"/>
  <c r="G333" i="6"/>
  <c r="H81" i="6"/>
  <c r="G339" i="6"/>
  <c r="H279" i="6"/>
  <c r="G48" i="6"/>
  <c r="G304" i="6"/>
  <c r="H68" i="6"/>
  <c r="H324" i="6"/>
  <c r="G89" i="6"/>
  <c r="G443" i="6"/>
  <c r="H495" i="6"/>
  <c r="G408" i="6"/>
  <c r="H328" i="6"/>
  <c r="G225" i="6"/>
  <c r="H61" i="6"/>
  <c r="H377" i="6"/>
  <c r="H62" i="6"/>
  <c r="G434" i="6"/>
  <c r="G166" i="6"/>
  <c r="H90" i="6"/>
  <c r="H407" i="6"/>
  <c r="H236" i="6"/>
  <c r="G10" i="6"/>
  <c r="H186" i="6"/>
  <c r="G70" i="6"/>
  <c r="G75" i="6"/>
  <c r="H92" i="6"/>
  <c r="H245" i="6"/>
  <c r="G42" i="6"/>
  <c r="H418" i="6"/>
  <c r="G288" i="6"/>
  <c r="H401" i="6"/>
  <c r="G151" i="6"/>
  <c r="H347" i="6"/>
  <c r="G264" i="6"/>
  <c r="H180" i="6"/>
  <c r="G97" i="6"/>
  <c r="G445" i="6"/>
  <c r="H273" i="6"/>
  <c r="G286" i="6"/>
  <c r="G66" i="6"/>
  <c r="H70" i="6"/>
  <c r="G138" i="6"/>
  <c r="H75" i="6"/>
  <c r="G472" i="6"/>
  <c r="G281" i="6"/>
  <c r="H421" i="6"/>
  <c r="H130" i="6"/>
  <c r="G179" i="6"/>
  <c r="G480" i="6"/>
  <c r="H205" i="6"/>
  <c r="H246" i="6"/>
  <c r="H290" i="6"/>
  <c r="G492" i="6"/>
  <c r="G350" i="6"/>
  <c r="H161" i="6"/>
  <c r="G342" i="6"/>
  <c r="H234" i="6"/>
  <c r="G307" i="6"/>
  <c r="G38" i="6"/>
  <c r="G279" i="6"/>
  <c r="G285" i="6"/>
  <c r="H146" i="6"/>
  <c r="G114" i="6"/>
  <c r="G136" i="6"/>
  <c r="G62" i="6"/>
  <c r="G187" i="6"/>
  <c r="H367" i="6"/>
  <c r="G280" i="6"/>
  <c r="H200" i="6"/>
  <c r="G117" i="6"/>
  <c r="G465" i="6"/>
  <c r="H156" i="6"/>
  <c r="G246" i="6"/>
  <c r="H416" i="6"/>
  <c r="H286" i="6"/>
  <c r="H301" i="6"/>
  <c r="H60" i="6"/>
  <c r="H477" i="6"/>
  <c r="G458" i="6"/>
  <c r="H387" i="6"/>
  <c r="H439" i="6"/>
  <c r="H13" i="6"/>
  <c r="H14" i="6"/>
  <c r="G33" i="6"/>
  <c r="G219" i="6"/>
  <c r="G223" i="6"/>
  <c r="G479" i="6"/>
  <c r="H239" i="6"/>
  <c r="G35" i="6"/>
  <c r="G291" i="6"/>
  <c r="H51" i="6"/>
  <c r="H307" i="6"/>
  <c r="G103" i="6"/>
  <c r="G359" i="6"/>
  <c r="H119" i="6"/>
  <c r="G111" i="6"/>
  <c r="G367" i="6"/>
  <c r="G171" i="6"/>
  <c r="H163" i="6"/>
  <c r="H459" i="6"/>
  <c r="G220" i="6"/>
  <c r="G476" i="6"/>
  <c r="H240" i="6"/>
  <c r="G5" i="6"/>
  <c r="G261" i="6"/>
  <c r="H9" i="6"/>
  <c r="H265" i="6"/>
  <c r="G110" i="6"/>
  <c r="G375" i="6"/>
  <c r="H299" i="6"/>
  <c r="G68" i="6"/>
  <c r="G324" i="6"/>
  <c r="H88" i="6"/>
  <c r="H344" i="6"/>
  <c r="G255" i="6"/>
  <c r="H15" i="6"/>
  <c r="H271" i="6"/>
  <c r="G67" i="6"/>
  <c r="G323" i="6"/>
  <c r="H83" i="6"/>
  <c r="G135" i="6"/>
  <c r="G391" i="6"/>
  <c r="G143" i="6"/>
  <c r="G399" i="6"/>
  <c r="G235" i="6"/>
  <c r="H203" i="6"/>
  <c r="H491" i="6"/>
  <c r="G252" i="6"/>
  <c r="H16" i="6"/>
  <c r="H272" i="6"/>
  <c r="G37" i="6"/>
  <c r="G293" i="6"/>
  <c r="H41" i="6"/>
  <c r="H297" i="6"/>
  <c r="G238" i="6"/>
  <c r="G439" i="6"/>
  <c r="H339" i="6"/>
  <c r="G100" i="6"/>
  <c r="G356" i="6"/>
  <c r="H120" i="6"/>
  <c r="H376" i="6"/>
  <c r="G141" i="6"/>
  <c r="G397" i="6"/>
  <c r="H145" i="6"/>
  <c r="G467" i="6"/>
  <c r="H351" i="6"/>
  <c r="G112" i="6"/>
  <c r="G368" i="6"/>
  <c r="H132" i="6"/>
  <c r="H388" i="6"/>
  <c r="H139" i="6"/>
  <c r="G104" i="6"/>
  <c r="H20" i="6"/>
  <c r="H428" i="6"/>
  <c r="G313" i="6"/>
  <c r="H149" i="6"/>
  <c r="H449" i="6"/>
  <c r="H318" i="6"/>
  <c r="H98" i="6"/>
  <c r="G422" i="6"/>
  <c r="G116" i="6"/>
  <c r="H444" i="6"/>
  <c r="H157" i="6"/>
  <c r="H478" i="6"/>
  <c r="H214" i="6"/>
  <c r="H91" i="6"/>
  <c r="H348" i="6"/>
  <c r="G174" i="6"/>
  <c r="H285" i="6"/>
  <c r="G358" i="6"/>
  <c r="H308" i="6"/>
  <c r="H310" i="6"/>
  <c r="G347" i="6"/>
  <c r="H451" i="6"/>
  <c r="G364" i="6"/>
  <c r="H284" i="6"/>
  <c r="G189" i="6"/>
  <c r="H25" i="6"/>
  <c r="H345" i="6"/>
  <c r="H74" i="6"/>
  <c r="G322" i="6"/>
  <c r="G54" i="6"/>
  <c r="G394" i="6"/>
  <c r="H355" i="6"/>
  <c r="H188" i="6"/>
  <c r="G449" i="6"/>
  <c r="G446" i="6"/>
  <c r="G22" i="6"/>
  <c r="H167" i="6"/>
  <c r="H296" i="6"/>
  <c r="H22" i="6"/>
  <c r="H249" i="6"/>
  <c r="G58" i="6"/>
  <c r="H460" i="6"/>
  <c r="G386" i="6"/>
  <c r="H429" i="6"/>
  <c r="H330" i="6"/>
  <c r="G184" i="6"/>
  <c r="H365" i="6"/>
  <c r="H411" i="6"/>
  <c r="H121" i="6"/>
  <c r="G470" i="6"/>
  <c r="H182" i="6"/>
  <c r="H104" i="6"/>
  <c r="H474" i="6"/>
  <c r="G395" i="6"/>
  <c r="H471" i="6"/>
  <c r="G384" i="6"/>
  <c r="H300" i="6"/>
  <c r="G209" i="6"/>
  <c r="H37" i="6"/>
  <c r="G425" i="6"/>
  <c r="H127" i="6"/>
  <c r="G305" i="6"/>
  <c r="H66" i="6"/>
  <c r="H135" i="6"/>
  <c r="H468" i="6"/>
  <c r="H414" i="6"/>
  <c r="H57" i="6"/>
  <c r="G309" i="6"/>
  <c r="G352" i="6"/>
  <c r="H337" i="6"/>
  <c r="G106" i="6"/>
  <c r="H373" i="6"/>
  <c r="H141" i="6"/>
  <c r="H108" i="6"/>
  <c r="G78" i="6"/>
  <c r="H338" i="6"/>
  <c r="G115" i="6"/>
  <c r="G81" i="6"/>
  <c r="H10" i="6"/>
  <c r="H39" i="6"/>
  <c r="G265" i="6"/>
  <c r="G278" i="6"/>
  <c r="G416" i="6"/>
  <c r="G198" i="6"/>
  <c r="H266" i="6"/>
  <c r="G314" i="6"/>
  <c r="G213" i="6"/>
  <c r="G318" i="6"/>
  <c r="G440" i="6"/>
  <c r="G31" i="6"/>
  <c r="G287" i="6"/>
  <c r="H47" i="6"/>
  <c r="H303" i="6"/>
  <c r="G99" i="6"/>
  <c r="G355" i="6"/>
  <c r="H115" i="6"/>
  <c r="G167" i="6"/>
  <c r="G423" i="6"/>
  <c r="G175" i="6"/>
  <c r="G431" i="6"/>
  <c r="G299" i="6"/>
  <c r="H251" i="6"/>
  <c r="G28" i="6"/>
  <c r="G284" i="6"/>
  <c r="H48" i="6"/>
  <c r="H304" i="6"/>
  <c r="G69" i="6"/>
  <c r="G325" i="6"/>
  <c r="H73" i="6"/>
  <c r="H329" i="6"/>
  <c r="G366" i="6"/>
  <c r="H7" i="6"/>
  <c r="H371" i="6"/>
  <c r="G132" i="6"/>
  <c r="G388" i="6"/>
  <c r="H152" i="6"/>
  <c r="H408" i="6"/>
  <c r="G173" i="6"/>
  <c r="G429" i="6"/>
  <c r="H177" i="6"/>
  <c r="G19" i="6"/>
  <c r="H35" i="6"/>
  <c r="H383" i="6"/>
  <c r="G144" i="6"/>
  <c r="G400" i="6"/>
  <c r="H164" i="6"/>
  <c r="H420" i="6"/>
  <c r="H215" i="6"/>
  <c r="G152" i="6"/>
  <c r="H72" i="6"/>
  <c r="H480" i="6"/>
  <c r="G353" i="6"/>
  <c r="H189" i="6"/>
  <c r="H485" i="6"/>
  <c r="H446" i="6"/>
  <c r="H226" i="6"/>
  <c r="H166" i="6"/>
  <c r="G155" i="6"/>
  <c r="G216" i="6"/>
  <c r="G53" i="6"/>
  <c r="H241" i="6"/>
  <c r="G82" i="6"/>
  <c r="G154" i="6"/>
  <c r="H311" i="6"/>
  <c r="G9" i="6"/>
  <c r="H110" i="6"/>
  <c r="H397" i="6"/>
  <c r="G186" i="6"/>
  <c r="G21" i="6"/>
  <c r="H406" i="6"/>
  <c r="G459" i="6"/>
  <c r="G8" i="6"/>
  <c r="H332" i="6"/>
  <c r="G233" i="6"/>
  <c r="H65" i="6"/>
  <c r="H381" i="6"/>
  <c r="H78" i="6"/>
  <c r="G450" i="6"/>
  <c r="G182" i="6"/>
  <c r="H122" i="6"/>
  <c r="H455" i="6"/>
  <c r="H288" i="6"/>
  <c r="H29" i="6"/>
  <c r="H94" i="6"/>
  <c r="H359" i="6"/>
  <c r="H448" i="6"/>
  <c r="H433" i="6"/>
  <c r="G203" i="6"/>
  <c r="H434" i="6"/>
  <c r="H357" i="6"/>
  <c r="G206" i="6"/>
  <c r="G63" i="6"/>
  <c r="G319" i="6"/>
  <c r="H79" i="6"/>
  <c r="G131" i="6"/>
  <c r="G387" i="6"/>
  <c r="H147" i="6"/>
  <c r="G199" i="6"/>
  <c r="G455" i="6"/>
  <c r="G207" i="6"/>
  <c r="G463" i="6"/>
  <c r="G363" i="6"/>
  <c r="H291" i="6"/>
  <c r="G60" i="6"/>
  <c r="G316" i="6"/>
  <c r="H80" i="6"/>
  <c r="H336" i="6"/>
  <c r="G101" i="6"/>
  <c r="G357" i="6"/>
  <c r="H105" i="6"/>
  <c r="H361" i="6"/>
  <c r="G494" i="6"/>
  <c r="G55" i="6"/>
  <c r="H71" i="6"/>
  <c r="H403" i="6"/>
  <c r="G164" i="6"/>
  <c r="G420" i="6"/>
  <c r="H184" i="6"/>
  <c r="H440" i="6"/>
  <c r="G205" i="6"/>
  <c r="G461" i="6"/>
  <c r="H209" i="6"/>
  <c r="G83" i="6"/>
  <c r="H99" i="6"/>
  <c r="H415" i="6"/>
  <c r="G176" i="6"/>
  <c r="G432" i="6"/>
  <c r="H196" i="6"/>
  <c r="H452" i="6"/>
  <c r="G27" i="6"/>
  <c r="H283" i="6"/>
  <c r="G204" i="6"/>
  <c r="H124" i="6"/>
  <c r="G41" i="6"/>
  <c r="G401" i="6"/>
  <c r="H229" i="6"/>
  <c r="G126" i="6"/>
  <c r="H106" i="6"/>
  <c r="H354" i="6"/>
  <c r="H42" i="6"/>
  <c r="G371" i="6"/>
  <c r="G320" i="6"/>
  <c r="G153" i="6"/>
  <c r="H313" i="6"/>
  <c r="G338" i="6"/>
  <c r="G410" i="6"/>
  <c r="G20" i="6"/>
  <c r="G113" i="6"/>
  <c r="H298" i="6"/>
  <c r="G46" i="6"/>
  <c r="G91" i="6"/>
  <c r="G253" i="6"/>
  <c r="H230" i="6"/>
  <c r="H67" i="6"/>
  <c r="G56" i="6"/>
  <c r="G468" i="6"/>
  <c r="H384" i="6"/>
  <c r="G277" i="6"/>
  <c r="H109" i="6"/>
  <c r="H417" i="6"/>
  <c r="H206" i="6"/>
  <c r="H362" i="6"/>
  <c r="G310" i="6"/>
  <c r="G64" i="6"/>
  <c r="H392" i="6"/>
  <c r="H117" i="6"/>
  <c r="H350" i="6"/>
  <c r="G454" i="6"/>
  <c r="H463" i="6"/>
  <c r="G61" i="6"/>
  <c r="H494" i="6"/>
  <c r="G190" i="6"/>
  <c r="H187" i="6"/>
  <c r="G381" i="6"/>
  <c r="G158" i="6"/>
  <c r="H238" i="6"/>
  <c r="G478" i="6"/>
  <c r="H204" i="6"/>
  <c r="H270" i="6"/>
  <c r="G376" i="6"/>
  <c r="H465" i="6"/>
  <c r="H321" i="6"/>
  <c r="G442" i="6"/>
  <c r="G125" i="6"/>
  <c r="H314" i="6"/>
  <c r="H103" i="6"/>
  <c r="G76" i="6"/>
  <c r="G488" i="6"/>
  <c r="H404" i="6"/>
  <c r="G289" i="6"/>
  <c r="H125" i="6"/>
  <c r="H473" i="6"/>
  <c r="G88" i="6"/>
  <c r="H133" i="6"/>
  <c r="G374" i="6"/>
  <c r="H445" i="6"/>
  <c r="H195" i="6"/>
  <c r="G345" i="6"/>
  <c r="H194" i="6"/>
  <c r="G330" i="6"/>
  <c r="G74" i="6"/>
  <c r="H268" i="6"/>
  <c r="H374" i="6"/>
  <c r="G202" i="6"/>
  <c r="H267" i="6"/>
  <c r="G418" i="6"/>
  <c r="G11" i="6"/>
  <c r="G29" i="6"/>
  <c r="H390" i="6"/>
  <c r="G200" i="6"/>
  <c r="H202" i="6"/>
  <c r="H327" i="6"/>
  <c r="G433" i="6"/>
  <c r="H450" i="6"/>
  <c r="G44" i="6"/>
  <c r="H97" i="6"/>
  <c r="G300" i="6"/>
  <c r="H174" i="6"/>
  <c r="H243" i="6"/>
  <c r="G487" i="6"/>
  <c r="G303" i="6"/>
  <c r="G348" i="6"/>
  <c r="G389" i="6"/>
  <c r="H219" i="6"/>
  <c r="H280" i="6"/>
  <c r="H49" i="6"/>
  <c r="G147" i="6"/>
  <c r="G80" i="6"/>
  <c r="H292" i="6"/>
  <c r="G343" i="6"/>
  <c r="H172" i="6"/>
  <c r="H101" i="6"/>
  <c r="G306" i="6"/>
  <c r="G409" i="6"/>
  <c r="H77" i="6"/>
  <c r="H107" i="6"/>
  <c r="G51" i="6"/>
  <c r="H28" i="6"/>
  <c r="G489" i="6"/>
  <c r="H154" i="6"/>
  <c r="G193" i="6"/>
  <c r="H18" i="6"/>
  <c r="H353" i="6"/>
  <c r="H256" i="6"/>
  <c r="H150" i="6"/>
  <c r="G118" i="6"/>
  <c r="G226" i="6"/>
  <c r="H323" i="6"/>
  <c r="G128" i="6"/>
  <c r="H456" i="6"/>
  <c r="H165" i="6"/>
  <c r="G340" i="6"/>
  <c r="H212" i="6"/>
  <c r="H294" i="6"/>
  <c r="G349" i="6"/>
  <c r="G393" i="6"/>
  <c r="G192" i="6"/>
  <c r="G402" i="6"/>
  <c r="G94" i="6"/>
  <c r="H27" i="6"/>
  <c r="G222" i="6"/>
  <c r="G248" i="6"/>
  <c r="H26" i="6"/>
  <c r="H356" i="6"/>
  <c r="G251" i="6"/>
  <c r="H153" i="6"/>
  <c r="G194" i="6"/>
  <c r="H170" i="6"/>
  <c r="G354" i="6"/>
  <c r="H89" i="6"/>
  <c r="H235" i="6"/>
  <c r="H138" i="6"/>
  <c r="G87" i="6"/>
  <c r="G232" i="6"/>
  <c r="G73" i="6"/>
  <c r="G129" i="6"/>
  <c r="G315" i="6"/>
  <c r="H220" i="6"/>
  <c r="H185" i="6"/>
  <c r="G396" i="6"/>
  <c r="H470" i="6"/>
  <c r="G40" i="6"/>
  <c r="H168" i="6"/>
  <c r="G163" i="6"/>
  <c r="H201" i="6"/>
  <c r="G196" i="6"/>
  <c r="G57" i="6"/>
  <c r="H413" i="6"/>
  <c r="G302" i="6"/>
  <c r="G214" i="6"/>
  <c r="H436" i="6"/>
  <c r="H227" i="6"/>
  <c r="G426" i="6"/>
  <c r="H398" i="6"/>
  <c r="H140" i="6"/>
  <c r="G297" i="6"/>
  <c r="G249" i="6"/>
  <c r="G137" i="6"/>
  <c r="H430" i="6"/>
  <c r="G490" i="6"/>
  <c r="H160" i="6"/>
  <c r="H346" i="6"/>
  <c r="H394" i="6"/>
  <c r="H379" i="6"/>
  <c r="H487" i="6"/>
  <c r="H320" i="6"/>
  <c r="G123" i="6"/>
  <c r="H179" i="6"/>
  <c r="G239" i="6"/>
  <c r="G156" i="6"/>
  <c r="H131" i="6"/>
  <c r="H228" i="6"/>
  <c r="G326" i="6"/>
  <c r="G312" i="6"/>
  <c r="H492" i="6"/>
  <c r="G98" i="6"/>
  <c r="H352" i="6"/>
  <c r="G296" i="6"/>
  <c r="H116" i="6"/>
  <c r="H326" i="6"/>
  <c r="H55" i="6"/>
  <c r="G495" i="6"/>
  <c r="G43" i="6"/>
  <c r="G412" i="6"/>
  <c r="G453" i="6"/>
  <c r="H435" i="6"/>
  <c r="H472" i="6"/>
  <c r="H113" i="6"/>
  <c r="G275" i="6"/>
  <c r="G208" i="6"/>
  <c r="H43" i="6"/>
  <c r="H276" i="6"/>
  <c r="H269" i="6"/>
  <c r="H282" i="6"/>
  <c r="G471" i="6"/>
  <c r="H69" i="6"/>
  <c r="H389" i="6"/>
  <c r="G84" i="6"/>
  <c r="H128" i="6"/>
  <c r="G369" i="6"/>
  <c r="G170" i="6"/>
  <c r="G392" i="6"/>
  <c r="G65" i="6"/>
  <c r="G274" i="6"/>
  <c r="H46" i="6"/>
  <c r="G134" i="6"/>
  <c r="H158" i="6"/>
  <c r="H59" i="6"/>
  <c r="H151" i="6"/>
  <c r="H443" i="6"/>
  <c r="H34" i="6"/>
  <c r="G379" i="6"/>
  <c r="G469" i="6"/>
  <c r="H309" i="6"/>
  <c r="H349" i="6"/>
  <c r="H255" i="6"/>
  <c r="G436" i="6"/>
  <c r="H142" i="6"/>
  <c r="G90" i="6"/>
  <c r="H466" i="6"/>
  <c r="G85" i="6"/>
  <c r="G212" i="6"/>
  <c r="H317" i="6"/>
  <c r="H369" i="6"/>
  <c r="G405" i="6"/>
  <c r="H405" i="6"/>
  <c r="H63" i="6"/>
  <c r="G427" i="6"/>
  <c r="H112" i="6"/>
  <c r="H137" i="6"/>
  <c r="G4" i="6"/>
  <c r="G45" i="6"/>
  <c r="G403" i="6"/>
  <c r="G272" i="6"/>
  <c r="H484" i="6"/>
  <c r="H343" i="6"/>
  <c r="H380" i="6"/>
  <c r="H341" i="6"/>
  <c r="H482" i="6"/>
  <c r="H295" i="6"/>
  <c r="H385" i="6"/>
  <c r="G482" i="6"/>
  <c r="H52" i="6"/>
  <c r="H155" i="6"/>
  <c r="H232" i="6"/>
  <c r="H237" i="6"/>
  <c r="H114" i="6"/>
  <c r="G267" i="6"/>
  <c r="H197" i="6"/>
  <c r="G475" i="6"/>
  <c r="G86" i="6"/>
  <c r="H437" i="6"/>
  <c r="G172" i="6"/>
  <c r="G298" i="6"/>
  <c r="H360" i="6"/>
  <c r="G283" i="6"/>
  <c r="G332" i="6"/>
  <c r="G161" i="6"/>
  <c r="H173" i="6"/>
  <c r="G473" i="6"/>
  <c r="H431" i="6"/>
  <c r="H426" i="6"/>
  <c r="H302" i="6"/>
  <c r="H481" i="6"/>
  <c r="G150" i="6"/>
  <c r="H316" i="6"/>
  <c r="H102" i="6"/>
  <c r="H134" i="6"/>
  <c r="G448" i="6"/>
  <c r="H58" i="6"/>
  <c r="H372" i="6"/>
  <c r="G477" i="6"/>
  <c r="H176" i="6"/>
  <c r="G109" i="6"/>
  <c r="G336" i="6"/>
  <c r="G93" i="6"/>
  <c r="G12" i="6"/>
  <c r="H287" i="6"/>
  <c r="H370" i="6"/>
  <c r="G72" i="6"/>
  <c r="H382" i="6"/>
  <c r="H469" i="6"/>
  <c r="H293" i="6"/>
  <c r="G344" i="6"/>
  <c r="G217" i="6"/>
  <c r="H422" i="6"/>
  <c r="G262" i="6"/>
  <c r="G34" i="6"/>
  <c r="H262" i="6"/>
  <c r="H64" i="6"/>
  <c r="G295" i="6"/>
  <c r="G493" i="6"/>
  <c r="G139" i="6"/>
  <c r="G102" i="6"/>
  <c r="H334" i="6"/>
  <c r="H33" i="6"/>
  <c r="G24" i="6"/>
  <c r="G362" i="6"/>
  <c r="H476" i="6"/>
  <c r="H225" i="6"/>
  <c r="H3" i="6"/>
  <c r="G201" i="6"/>
  <c r="G398" i="6"/>
  <c r="G460" i="6"/>
  <c r="G95" i="6"/>
  <c r="G227" i="6"/>
  <c r="H331" i="6"/>
  <c r="H368" i="6"/>
  <c r="H393" i="6"/>
  <c r="G260" i="6"/>
  <c r="G237" i="6"/>
  <c r="H231" i="6"/>
  <c r="G464" i="6"/>
  <c r="G121" i="6"/>
  <c r="G52" i="6"/>
  <c r="G185" i="6"/>
  <c r="G270" i="6"/>
  <c r="G294" i="6"/>
  <c r="G424" i="6"/>
  <c r="H222" i="6"/>
  <c r="G120" i="6"/>
  <c r="H250" i="6"/>
  <c r="H253" i="6"/>
  <c r="H399" i="6"/>
  <c r="G49" i="6"/>
  <c r="H453" i="6"/>
  <c r="H438" i="6"/>
  <c r="G168" i="6"/>
  <c r="G6" i="6"/>
  <c r="G328" i="6"/>
  <c r="H126" i="6"/>
  <c r="H40" i="6"/>
  <c r="H162" i="6"/>
  <c r="H412" i="6"/>
  <c r="G157" i="6"/>
  <c r="H254" i="6"/>
  <c r="H325" i="6"/>
  <c r="H183" i="6"/>
  <c r="H44" i="6"/>
  <c r="G337" i="6"/>
  <c r="H306" i="6"/>
  <c r="G382" i="6"/>
  <c r="G390" i="6"/>
  <c r="H264" i="6"/>
  <c r="H199" i="6"/>
  <c r="H210" i="6"/>
  <c r="H12" i="6"/>
  <c r="H53" i="6"/>
  <c r="H364" i="6"/>
  <c r="G234" i="6"/>
  <c r="G437" i="6"/>
  <c r="G142" i="6"/>
  <c r="H278" i="6"/>
  <c r="G457" i="6"/>
  <c r="H6" i="6"/>
  <c r="H315" i="6"/>
  <c r="G417" i="6"/>
  <c r="G215" i="6"/>
  <c r="G177" i="6"/>
  <c r="G218" i="6"/>
  <c r="G148" i="6"/>
  <c r="G23" i="6"/>
  <c r="H221" i="6"/>
  <c r="H424" i="6"/>
  <c r="G257" i="6"/>
  <c r="H261" i="6"/>
  <c r="G483" i="6"/>
  <c r="G231" i="6"/>
  <c r="G92" i="6"/>
  <c r="H24" i="6"/>
  <c r="G365" i="6"/>
  <c r="H100" i="6"/>
  <c r="G441" i="6"/>
  <c r="G378" i="6"/>
  <c r="H118" i="6"/>
  <c r="G18" i="6"/>
  <c r="G430" i="6"/>
  <c r="G466" i="6"/>
  <c r="H423" i="6"/>
  <c r="H217" i="6"/>
  <c r="H50" i="6"/>
  <c r="H252" i="6"/>
  <c r="H5" i="6"/>
  <c r="G411" i="6"/>
  <c r="G254" i="6"/>
  <c r="G197" i="6"/>
  <c r="G16" i="6"/>
  <c r="H21" i="6"/>
  <c r="G245" i="6"/>
  <c r="G266" i="6"/>
  <c r="G236" i="6"/>
  <c r="G462" i="6"/>
  <c r="H85" i="6"/>
  <c r="H333" i="6"/>
  <c r="G26" i="6"/>
  <c r="G351" i="6"/>
  <c r="G419" i="6"/>
  <c r="G39" i="6"/>
  <c r="H395" i="6"/>
  <c r="H432" i="6"/>
  <c r="H457" i="6"/>
  <c r="G119" i="6"/>
  <c r="G452" i="6"/>
  <c r="G301" i="6"/>
  <c r="H319" i="6"/>
  <c r="H36" i="6"/>
  <c r="G256" i="6"/>
  <c r="G273" i="6"/>
  <c r="H454" i="6"/>
  <c r="G122" i="6"/>
  <c r="H136" i="6"/>
  <c r="H458" i="6"/>
  <c r="G428" i="6"/>
  <c r="H442" i="6"/>
  <c r="H54" i="6"/>
  <c r="G108" i="6"/>
  <c r="G149" i="6"/>
  <c r="G438" i="6"/>
  <c r="G372" i="6"/>
  <c r="H218" i="6"/>
  <c r="H192" i="6"/>
  <c r="G370" i="6"/>
  <c r="G30" i="6"/>
  <c r="G341" i="6"/>
  <c r="H30" i="6"/>
  <c r="H148" i="6"/>
  <c r="G146" i="6"/>
  <c r="H86" i="6"/>
  <c r="H82" i="6"/>
  <c r="G435" i="6"/>
  <c r="H490" i="6"/>
  <c r="H111" i="6"/>
  <c r="G47" i="6"/>
  <c r="G133" i="6"/>
  <c r="G247" i="6"/>
  <c r="H447" i="6"/>
  <c r="G360" i="6"/>
  <c r="H190" i="6"/>
  <c r="H340" i="6"/>
  <c r="H244" i="6"/>
  <c r="G317" i="6"/>
  <c r="H84" i="6"/>
  <c r="G230" i="6"/>
  <c r="H281" i="6"/>
  <c r="G486" i="6"/>
  <c r="H419" i="6"/>
  <c r="G96" i="6"/>
  <c r="G474" i="6"/>
  <c r="H93" i="6"/>
  <c r="H216" i="6"/>
  <c r="G50" i="6"/>
  <c r="G241" i="6"/>
  <c r="H386" i="6"/>
  <c r="G130" i="6"/>
  <c r="H11" i="6"/>
  <c r="H486" i="6"/>
  <c r="H483" i="6"/>
  <c r="H335" i="6"/>
  <c r="H2" i="6"/>
  <c r="F5" i="1"/>
  <c r="F2" i="1"/>
  <c r="E264" i="5" l="1"/>
  <c r="F264" i="5" s="1"/>
  <c r="L15" i="5"/>
  <c r="M15" i="5" s="1"/>
  <c r="L7" i="5"/>
  <c r="M7" i="5" s="1"/>
  <c r="L302" i="5"/>
  <c r="M302" i="5" s="1"/>
  <c r="E69" i="5"/>
  <c r="F69" i="5" s="1"/>
  <c r="E65" i="5"/>
  <c r="F65" i="5" s="1"/>
  <c r="L367" i="5"/>
  <c r="M367" i="5" s="1"/>
  <c r="L347" i="5"/>
  <c r="M347" i="5" s="1"/>
  <c r="L343" i="5"/>
  <c r="M343" i="5" s="1"/>
  <c r="L464" i="5"/>
  <c r="M464" i="5" s="1"/>
  <c r="L250" i="5"/>
  <c r="M250" i="5" s="1"/>
  <c r="L242" i="5"/>
  <c r="M242" i="5" s="1"/>
  <c r="L178" i="5"/>
  <c r="M178" i="5" s="1"/>
  <c r="L362" i="5"/>
  <c r="M362" i="5" s="1"/>
  <c r="L338" i="5"/>
  <c r="M338" i="5" s="1"/>
  <c r="L12" i="5"/>
  <c r="M12" i="5" s="1"/>
  <c r="L286" i="5"/>
  <c r="M286" i="5" s="1"/>
  <c r="L461" i="5"/>
  <c r="M461" i="5" s="1"/>
  <c r="L167" i="5"/>
  <c r="M167" i="5" s="1"/>
  <c r="E127" i="5"/>
  <c r="F127" i="5" s="1"/>
  <c r="L423" i="5"/>
  <c r="M423" i="5" s="1"/>
  <c r="L160" i="5"/>
  <c r="M160" i="5" s="1"/>
  <c r="E296" i="5"/>
  <c r="F296" i="5" s="1"/>
  <c r="L376" i="5"/>
  <c r="M376" i="5" s="1"/>
  <c r="L298" i="5"/>
  <c r="M298" i="5" s="1"/>
  <c r="L186" i="5"/>
  <c r="M186" i="5" s="1"/>
  <c r="L20" i="5"/>
  <c r="M20" i="5" s="1"/>
  <c r="L397" i="5"/>
  <c r="M397" i="5" s="1"/>
  <c r="E57" i="5"/>
  <c r="F57" i="5" s="1"/>
  <c r="E53" i="5"/>
  <c r="F53" i="5" s="1"/>
  <c r="E45" i="5"/>
  <c r="F45" i="5" s="1"/>
  <c r="E29" i="5"/>
  <c r="F29" i="5" s="1"/>
  <c r="L216" i="5"/>
  <c r="M216" i="5" s="1"/>
  <c r="L208" i="5"/>
  <c r="M208" i="5" s="1"/>
  <c r="L146" i="5"/>
  <c r="M146" i="5" s="1"/>
  <c r="L76" i="5"/>
  <c r="M76" i="5" s="1"/>
  <c r="E165" i="5"/>
  <c r="F165" i="5" s="1"/>
  <c r="L432" i="5"/>
  <c r="M432" i="5" s="1"/>
  <c r="E247" i="5"/>
  <c r="F247" i="5" s="1"/>
  <c r="L192" i="5"/>
  <c r="M192" i="5" s="1"/>
  <c r="L170" i="5"/>
  <c r="M170" i="5" s="1"/>
  <c r="L151" i="5"/>
  <c r="M151" i="5" s="1"/>
  <c r="L47" i="5"/>
  <c r="M47" i="5" s="1"/>
  <c r="L39" i="5"/>
  <c r="M39" i="5" s="1"/>
  <c r="L31" i="5"/>
  <c r="M31" i="5" s="1"/>
  <c r="L24" i="5"/>
  <c r="M24" i="5" s="1"/>
  <c r="E472" i="5"/>
  <c r="F472" i="5" s="1"/>
  <c r="E453" i="5"/>
  <c r="F453" i="5" s="1"/>
  <c r="E239" i="5"/>
  <c r="F239" i="5" s="1"/>
  <c r="L415" i="5"/>
  <c r="M415" i="5" s="1"/>
  <c r="L358" i="5"/>
  <c r="M358" i="5" s="1"/>
  <c r="L294" i="5"/>
  <c r="M294" i="5" s="1"/>
  <c r="E161" i="5"/>
  <c r="F161" i="5" s="1"/>
  <c r="E326" i="5"/>
  <c r="F326" i="5" s="1"/>
  <c r="L172" i="5"/>
  <c r="M172" i="5" s="1"/>
  <c r="L136" i="5"/>
  <c r="M136" i="5" s="1"/>
  <c r="L79" i="5"/>
  <c r="M79" i="5" s="1"/>
  <c r="L337" i="5"/>
  <c r="M337" i="5" s="1"/>
  <c r="E483" i="5"/>
  <c r="F483" i="5" s="1"/>
  <c r="E475" i="5"/>
  <c r="F475" i="5" s="1"/>
  <c r="E451" i="5"/>
  <c r="F451" i="5" s="1"/>
  <c r="L392" i="5"/>
  <c r="M392" i="5" s="1"/>
  <c r="L361" i="5"/>
  <c r="M361" i="5" s="1"/>
  <c r="L100" i="5"/>
  <c r="M100" i="5" s="1"/>
  <c r="L32" i="5"/>
  <c r="M32" i="5" s="1"/>
  <c r="E310" i="5"/>
  <c r="F310" i="5" s="1"/>
  <c r="L425" i="5"/>
  <c r="M425" i="5" s="1"/>
  <c r="L223" i="5"/>
  <c r="M223" i="5" s="1"/>
  <c r="L96" i="5"/>
  <c r="M96" i="5" s="1"/>
  <c r="E413" i="5"/>
  <c r="F413" i="5" s="1"/>
  <c r="E117" i="5"/>
  <c r="F117" i="5" s="1"/>
  <c r="L383" i="5"/>
  <c r="M383" i="5" s="1"/>
  <c r="E469" i="5"/>
  <c r="F469" i="5" s="1"/>
  <c r="E427" i="5"/>
  <c r="F427" i="5" s="1"/>
  <c r="E405" i="5"/>
  <c r="F405" i="5" s="1"/>
  <c r="E374" i="5"/>
  <c r="F374" i="5" s="1"/>
  <c r="L472" i="5"/>
  <c r="M472" i="5" s="1"/>
  <c r="L393" i="5"/>
  <c r="M393" i="5" s="1"/>
  <c r="L320" i="5"/>
  <c r="M320" i="5" s="1"/>
  <c r="L262" i="5"/>
  <c r="M262" i="5" s="1"/>
  <c r="L258" i="5"/>
  <c r="M258" i="5" s="1"/>
  <c r="L200" i="5"/>
  <c r="M200" i="5" s="1"/>
  <c r="E125" i="5"/>
  <c r="F125" i="5" s="1"/>
  <c r="L368" i="5"/>
  <c r="M368" i="5" s="1"/>
  <c r="L345" i="5"/>
  <c r="M345" i="5" s="1"/>
  <c r="E419" i="5"/>
  <c r="F419" i="5" s="1"/>
  <c r="E304" i="5"/>
  <c r="F304" i="5" s="1"/>
  <c r="E263" i="5"/>
  <c r="F263" i="5" s="1"/>
  <c r="E240" i="5"/>
  <c r="F240" i="5" s="1"/>
  <c r="E236" i="5"/>
  <c r="F236" i="5" s="1"/>
  <c r="E232" i="5"/>
  <c r="F232" i="5" s="1"/>
  <c r="E224" i="5"/>
  <c r="F224" i="5" s="1"/>
  <c r="E209" i="5"/>
  <c r="F209" i="5" s="1"/>
  <c r="E89" i="5"/>
  <c r="F89" i="5" s="1"/>
  <c r="E85" i="5"/>
  <c r="F85" i="5" s="1"/>
  <c r="E77" i="5"/>
  <c r="F77" i="5" s="1"/>
  <c r="E18" i="5"/>
  <c r="F18" i="5" s="1"/>
  <c r="L488" i="5"/>
  <c r="M488" i="5" s="1"/>
  <c r="L457" i="5"/>
  <c r="M457" i="5" s="1"/>
  <c r="L399" i="5"/>
  <c r="M399" i="5" s="1"/>
  <c r="L396" i="5"/>
  <c r="M396" i="5" s="1"/>
  <c r="L359" i="5"/>
  <c r="M359" i="5" s="1"/>
  <c r="L344" i="5"/>
  <c r="M344" i="5" s="1"/>
  <c r="L326" i="5"/>
  <c r="M326" i="5" s="1"/>
  <c r="L323" i="5"/>
  <c r="M323" i="5" s="1"/>
  <c r="L206" i="5"/>
  <c r="M206" i="5" s="1"/>
  <c r="L199" i="5"/>
  <c r="M199" i="5" s="1"/>
  <c r="L184" i="5"/>
  <c r="M184" i="5" s="1"/>
  <c r="L168" i="5"/>
  <c r="M168" i="5" s="1"/>
  <c r="L132" i="5"/>
  <c r="M132" i="5" s="1"/>
  <c r="L111" i="5"/>
  <c r="M111" i="5" s="1"/>
  <c r="L104" i="5"/>
  <c r="M104" i="5" s="1"/>
  <c r="E417" i="5"/>
  <c r="F417" i="5" s="1"/>
  <c r="E121" i="5"/>
  <c r="F121" i="5" s="1"/>
  <c r="E342" i="5"/>
  <c r="F342" i="5" s="1"/>
  <c r="E255" i="5"/>
  <c r="F255" i="5" s="1"/>
  <c r="E200" i="5"/>
  <c r="F200" i="5" s="1"/>
  <c r="L471" i="5"/>
  <c r="M471" i="5" s="1"/>
  <c r="L460" i="5"/>
  <c r="M460" i="5" s="1"/>
  <c r="L336" i="5"/>
  <c r="M336" i="5" s="1"/>
  <c r="L290" i="5"/>
  <c r="M290" i="5" s="1"/>
  <c r="L64" i="5"/>
  <c r="M64" i="5" s="1"/>
  <c r="L36" i="5"/>
  <c r="M36" i="5" s="1"/>
  <c r="L18" i="5"/>
  <c r="M18" i="5" s="1"/>
  <c r="L154" i="5"/>
  <c r="M154" i="5" s="1"/>
  <c r="E411" i="5"/>
  <c r="F411" i="5" s="1"/>
  <c r="E188" i="5"/>
  <c r="F188" i="5" s="1"/>
  <c r="E184" i="5"/>
  <c r="F184" i="5" s="1"/>
  <c r="E95" i="5"/>
  <c r="F95" i="5" s="1"/>
  <c r="L463" i="5"/>
  <c r="M463" i="5" s="1"/>
  <c r="L405" i="5"/>
  <c r="M405" i="5" s="1"/>
  <c r="L224" i="5"/>
  <c r="M224" i="5" s="1"/>
  <c r="L202" i="5"/>
  <c r="M202" i="5" s="1"/>
  <c r="L152" i="5"/>
  <c r="M152" i="5" s="1"/>
  <c r="L103" i="5"/>
  <c r="M103" i="5" s="1"/>
  <c r="L88" i="5"/>
  <c r="M88" i="5" s="1"/>
  <c r="E409" i="5"/>
  <c r="F409" i="5" s="1"/>
  <c r="E437" i="5"/>
  <c r="F437" i="5" s="1"/>
  <c r="L183" i="5"/>
  <c r="M183" i="5" s="1"/>
  <c r="L71" i="5"/>
  <c r="M71" i="5" s="1"/>
  <c r="L21" i="5"/>
  <c r="M21" i="5" s="1"/>
  <c r="E493" i="5"/>
  <c r="F493" i="5" s="1"/>
  <c r="E294" i="5"/>
  <c r="F294" i="5" s="1"/>
  <c r="E230" i="5"/>
  <c r="F230" i="5" s="1"/>
  <c r="E153" i="5"/>
  <c r="F153" i="5" s="1"/>
  <c r="E17" i="5"/>
  <c r="F17" i="5" s="1"/>
  <c r="E13" i="5"/>
  <c r="F13" i="5" s="1"/>
  <c r="L469" i="5"/>
  <c r="M469" i="5" s="1"/>
  <c r="L416" i="5"/>
  <c r="M416" i="5" s="1"/>
  <c r="L365" i="5"/>
  <c r="M365" i="5" s="1"/>
  <c r="L354" i="5"/>
  <c r="M354" i="5" s="1"/>
  <c r="L322" i="5"/>
  <c r="M322" i="5" s="1"/>
  <c r="L270" i="5"/>
  <c r="M270" i="5" s="1"/>
  <c r="L215" i="5"/>
  <c r="M215" i="5" s="1"/>
  <c r="L162" i="5"/>
  <c r="M162" i="5" s="1"/>
  <c r="L127" i="5"/>
  <c r="M127" i="5" s="1"/>
  <c r="L119" i="5"/>
  <c r="M119" i="5" s="1"/>
  <c r="L95" i="5"/>
  <c r="M95" i="5" s="1"/>
  <c r="L84" i="5"/>
  <c r="M84" i="5" s="1"/>
  <c r="L63" i="5"/>
  <c r="M63" i="5" s="1"/>
  <c r="E485" i="5"/>
  <c r="F485" i="5" s="1"/>
  <c r="E272" i="5"/>
  <c r="F272" i="5" s="1"/>
  <c r="E9" i="5"/>
  <c r="F9" i="5" s="1"/>
  <c r="L450" i="5"/>
  <c r="M450" i="5" s="1"/>
  <c r="J410" i="5"/>
  <c r="L410" i="5" s="1"/>
  <c r="M410" i="5" s="1"/>
  <c r="L306" i="5"/>
  <c r="M306" i="5" s="1"/>
  <c r="J284" i="5"/>
  <c r="L284" i="5" s="1"/>
  <c r="M284" i="5" s="1"/>
  <c r="J214" i="5"/>
  <c r="L214" i="5" s="1"/>
  <c r="M214" i="5" s="1"/>
  <c r="J122" i="5"/>
  <c r="L122" i="5" s="1"/>
  <c r="M122" i="5" s="1"/>
  <c r="L80" i="5"/>
  <c r="M80" i="5" s="1"/>
  <c r="J56" i="5"/>
  <c r="L56" i="5" s="1"/>
  <c r="M56" i="5" s="1"/>
  <c r="J176" i="5"/>
  <c r="L176" i="5" s="1"/>
  <c r="M176" i="5" s="1"/>
  <c r="E390" i="5"/>
  <c r="F390" i="5" s="1"/>
  <c r="L378" i="5"/>
  <c r="M378" i="5" s="1"/>
  <c r="J348" i="5"/>
  <c r="L348" i="5" s="1"/>
  <c r="M348" i="5" s="1"/>
  <c r="J144" i="5"/>
  <c r="L144" i="5" s="1"/>
  <c r="M144" i="5" s="1"/>
  <c r="C280" i="5"/>
  <c r="E280" i="5" s="1"/>
  <c r="F280" i="5" s="1"/>
  <c r="E113" i="5"/>
  <c r="F113" i="5" s="1"/>
  <c r="E105" i="5"/>
  <c r="F105" i="5" s="1"/>
  <c r="L480" i="5"/>
  <c r="M480" i="5" s="1"/>
  <c r="L456" i="5"/>
  <c r="M456" i="5" s="1"/>
  <c r="J366" i="5"/>
  <c r="L366" i="5" s="1"/>
  <c r="M366" i="5" s="1"/>
  <c r="J89" i="5"/>
  <c r="L89" i="5" s="1"/>
  <c r="M89" i="5" s="1"/>
  <c r="L16" i="5"/>
  <c r="M16" i="5" s="1"/>
  <c r="E135" i="5"/>
  <c r="F135" i="5" s="1"/>
  <c r="J268" i="5"/>
  <c r="L268" i="5" s="1"/>
  <c r="M268" i="5" s="1"/>
  <c r="J193" i="5"/>
  <c r="L193" i="5" s="1"/>
  <c r="M193" i="5" s="1"/>
  <c r="E459" i="5"/>
  <c r="F459" i="5" s="1"/>
  <c r="E445" i="5"/>
  <c r="F445" i="5" s="1"/>
  <c r="E223" i="5"/>
  <c r="F223" i="5" s="1"/>
  <c r="L485" i="5"/>
  <c r="M485" i="5" s="1"/>
  <c r="L391" i="5"/>
  <c r="M391" i="5" s="1"/>
  <c r="L267" i="5"/>
  <c r="M267" i="5" s="1"/>
  <c r="J238" i="5"/>
  <c r="L238" i="5" s="1"/>
  <c r="M238" i="5" s="1"/>
  <c r="L128" i="5"/>
  <c r="M128" i="5" s="1"/>
  <c r="L40" i="5"/>
  <c r="M40" i="5" s="1"/>
  <c r="J25" i="5"/>
  <c r="L25" i="5" s="1"/>
  <c r="M25" i="5" s="1"/>
  <c r="J375" i="5"/>
  <c r="L375" i="5" s="1"/>
  <c r="M375" i="5" s="1"/>
  <c r="E231" i="5"/>
  <c r="F231" i="5" s="1"/>
  <c r="J448" i="5"/>
  <c r="L448" i="5" s="1"/>
  <c r="M448" i="5" s="1"/>
  <c r="J342" i="5"/>
  <c r="L342" i="5" s="1"/>
  <c r="M342" i="5" s="1"/>
  <c r="J300" i="5"/>
  <c r="L300" i="5" s="1"/>
  <c r="M300" i="5" s="1"/>
  <c r="J161" i="5"/>
  <c r="L161" i="5" s="1"/>
  <c r="M161" i="5" s="1"/>
  <c r="E254" i="5"/>
  <c r="F254" i="5" s="1"/>
  <c r="E246" i="5"/>
  <c r="F246" i="5" s="1"/>
  <c r="E238" i="5"/>
  <c r="F238" i="5" s="1"/>
  <c r="C103" i="5"/>
  <c r="E103" i="5" s="1"/>
  <c r="F103" i="5" s="1"/>
  <c r="E41" i="5"/>
  <c r="F41" i="5" s="1"/>
  <c r="J426" i="5"/>
  <c r="L426" i="5" s="1"/>
  <c r="M426" i="5" s="1"/>
  <c r="J407" i="5"/>
  <c r="L407" i="5" s="1"/>
  <c r="M407" i="5" s="1"/>
  <c r="J328" i="5"/>
  <c r="L328" i="5" s="1"/>
  <c r="M328" i="5" s="1"/>
  <c r="L318" i="5"/>
  <c r="M318" i="5" s="1"/>
  <c r="L299" i="5"/>
  <c r="M299" i="5" s="1"/>
  <c r="L274" i="5"/>
  <c r="M274" i="5" s="1"/>
  <c r="L254" i="5"/>
  <c r="M254" i="5" s="1"/>
  <c r="L244" i="5"/>
  <c r="M244" i="5" s="1"/>
  <c r="L210" i="5"/>
  <c r="M210" i="5" s="1"/>
  <c r="L175" i="5"/>
  <c r="M175" i="5" s="1"/>
  <c r="L73" i="5"/>
  <c r="M73" i="5" s="1"/>
  <c r="L66" i="5"/>
  <c r="M66" i="5" s="1"/>
  <c r="L9" i="5"/>
  <c r="M9" i="5" s="1"/>
  <c r="L283" i="5"/>
  <c r="M283" i="5" s="1"/>
  <c r="E481" i="5"/>
  <c r="F481" i="5" s="1"/>
  <c r="E477" i="5"/>
  <c r="F477" i="5" s="1"/>
  <c r="E473" i="5"/>
  <c r="F473" i="5" s="1"/>
  <c r="E441" i="5"/>
  <c r="F441" i="5" s="1"/>
  <c r="E397" i="5"/>
  <c r="F397" i="5" s="1"/>
  <c r="E286" i="5"/>
  <c r="F286" i="5" s="1"/>
  <c r="E271" i="5"/>
  <c r="F271" i="5" s="1"/>
  <c r="E181" i="5"/>
  <c r="F181" i="5" s="1"/>
  <c r="E149" i="5"/>
  <c r="F149" i="5" s="1"/>
  <c r="E141" i="5"/>
  <c r="F141" i="5" s="1"/>
  <c r="E87" i="5"/>
  <c r="F87" i="5" s="1"/>
  <c r="E73" i="5"/>
  <c r="F73" i="5" s="1"/>
  <c r="E55" i="5"/>
  <c r="F55" i="5" s="1"/>
  <c r="L458" i="5"/>
  <c r="M458" i="5" s="1"/>
  <c r="L455" i="5"/>
  <c r="M455" i="5" s="1"/>
  <c r="L447" i="5"/>
  <c r="M447" i="5" s="1"/>
  <c r="L437" i="5"/>
  <c r="M437" i="5" s="1"/>
  <c r="L431" i="5"/>
  <c r="M431" i="5" s="1"/>
  <c r="L428" i="5"/>
  <c r="M428" i="5" s="1"/>
  <c r="L421" i="5"/>
  <c r="M421" i="5" s="1"/>
  <c r="L400" i="5"/>
  <c r="M400" i="5" s="1"/>
  <c r="L394" i="5"/>
  <c r="M394" i="5" s="1"/>
  <c r="L384" i="5"/>
  <c r="M384" i="5" s="1"/>
  <c r="L330" i="5"/>
  <c r="M330" i="5" s="1"/>
  <c r="L324" i="5"/>
  <c r="M324" i="5" s="1"/>
  <c r="L314" i="5"/>
  <c r="M314" i="5" s="1"/>
  <c r="L243" i="5"/>
  <c r="M243" i="5" s="1"/>
  <c r="L234" i="5"/>
  <c r="M234" i="5" s="1"/>
  <c r="L230" i="5"/>
  <c r="M230" i="5" s="1"/>
  <c r="L227" i="5"/>
  <c r="M227" i="5" s="1"/>
  <c r="L180" i="5"/>
  <c r="M180" i="5" s="1"/>
  <c r="L169" i="5"/>
  <c r="M169" i="5" s="1"/>
  <c r="L148" i="5"/>
  <c r="M148" i="5" s="1"/>
  <c r="L143" i="5"/>
  <c r="M143" i="5" s="1"/>
  <c r="L130" i="5"/>
  <c r="M130" i="5" s="1"/>
  <c r="L112" i="5"/>
  <c r="M112" i="5" s="1"/>
  <c r="L106" i="5"/>
  <c r="M106" i="5" s="1"/>
  <c r="L97" i="5"/>
  <c r="M97" i="5" s="1"/>
  <c r="L82" i="5"/>
  <c r="M82" i="5" s="1"/>
  <c r="L72" i="5"/>
  <c r="M72" i="5" s="1"/>
  <c r="L55" i="5"/>
  <c r="M55" i="5" s="1"/>
  <c r="L48" i="5"/>
  <c r="M48" i="5" s="1"/>
  <c r="L42" i="5"/>
  <c r="M42" i="5" s="1"/>
  <c r="L33" i="5"/>
  <c r="M33" i="5" s="1"/>
  <c r="L8" i="5"/>
  <c r="M8" i="5" s="1"/>
  <c r="E145" i="5"/>
  <c r="F145" i="5" s="1"/>
  <c r="L418" i="5"/>
  <c r="M418" i="5" s="1"/>
  <c r="L308" i="5"/>
  <c r="M308" i="5" s="1"/>
  <c r="L260" i="5"/>
  <c r="M260" i="5" s="1"/>
  <c r="L138" i="5"/>
  <c r="M138" i="5" s="1"/>
  <c r="L129" i="5"/>
  <c r="M129" i="5" s="1"/>
  <c r="L26" i="5"/>
  <c r="M26" i="5" s="1"/>
  <c r="E433" i="5"/>
  <c r="F433" i="5" s="1"/>
  <c r="E278" i="5"/>
  <c r="F278" i="5" s="1"/>
  <c r="E167" i="5"/>
  <c r="F167" i="5" s="1"/>
  <c r="E151" i="5"/>
  <c r="F151" i="5" s="1"/>
  <c r="E111" i="5"/>
  <c r="F111" i="5" s="1"/>
  <c r="E61" i="5"/>
  <c r="F61" i="5" s="1"/>
  <c r="E39" i="5"/>
  <c r="F39" i="5" s="1"/>
  <c r="E25" i="5"/>
  <c r="F25" i="5" s="1"/>
  <c r="E7" i="5"/>
  <c r="F7" i="5" s="1"/>
  <c r="L493" i="5"/>
  <c r="M493" i="5" s="1"/>
  <c r="L466" i="5"/>
  <c r="M466" i="5" s="1"/>
  <c r="L440" i="5"/>
  <c r="M440" i="5" s="1"/>
  <c r="L434" i="5"/>
  <c r="M434" i="5" s="1"/>
  <c r="L389" i="5"/>
  <c r="M389" i="5" s="1"/>
  <c r="L373" i="5"/>
  <c r="M373" i="5" s="1"/>
  <c r="L355" i="5"/>
  <c r="M355" i="5" s="1"/>
  <c r="L346" i="5"/>
  <c r="M346" i="5" s="1"/>
  <c r="L332" i="5"/>
  <c r="M332" i="5" s="1"/>
  <c r="L307" i="5"/>
  <c r="M307" i="5" s="1"/>
  <c r="L276" i="5"/>
  <c r="M276" i="5" s="1"/>
  <c r="L259" i="5"/>
  <c r="M259" i="5" s="1"/>
  <c r="L246" i="5"/>
  <c r="M246" i="5" s="1"/>
  <c r="L226" i="5"/>
  <c r="M226" i="5" s="1"/>
  <c r="L218" i="5"/>
  <c r="M218" i="5" s="1"/>
  <c r="L212" i="5"/>
  <c r="M212" i="5" s="1"/>
  <c r="L194" i="5"/>
  <c r="M194" i="5" s="1"/>
  <c r="L188" i="5"/>
  <c r="M188" i="5" s="1"/>
  <c r="L177" i="5"/>
  <c r="M177" i="5" s="1"/>
  <c r="L156" i="5"/>
  <c r="M156" i="5" s="1"/>
  <c r="L120" i="5"/>
  <c r="M120" i="5" s="1"/>
  <c r="L108" i="5"/>
  <c r="M108" i="5" s="1"/>
  <c r="L68" i="5"/>
  <c r="M68" i="5" s="1"/>
  <c r="L57" i="5"/>
  <c r="M57" i="5" s="1"/>
  <c r="L50" i="5"/>
  <c r="M50" i="5" s="1"/>
  <c r="L44" i="5"/>
  <c r="M44" i="5" s="1"/>
  <c r="L29" i="5"/>
  <c r="M29" i="5" s="1"/>
  <c r="L10" i="5"/>
  <c r="M10" i="5" s="1"/>
  <c r="L4" i="5"/>
  <c r="M4" i="5" s="1"/>
  <c r="E429" i="5"/>
  <c r="F429" i="5" s="1"/>
  <c r="E461" i="5"/>
  <c r="F461" i="5" s="1"/>
  <c r="E425" i="5"/>
  <c r="F425" i="5" s="1"/>
  <c r="E421" i="5"/>
  <c r="F421" i="5" s="1"/>
  <c r="E395" i="5"/>
  <c r="F395" i="5" s="1"/>
  <c r="E358" i="5"/>
  <c r="F358" i="5" s="1"/>
  <c r="E270" i="5"/>
  <c r="F270" i="5" s="1"/>
  <c r="E260" i="5"/>
  <c r="F260" i="5" s="1"/>
  <c r="E256" i="5"/>
  <c r="F256" i="5" s="1"/>
  <c r="E252" i="5"/>
  <c r="F252" i="5" s="1"/>
  <c r="E248" i="5"/>
  <c r="F248" i="5" s="1"/>
  <c r="E244" i="5"/>
  <c r="F244" i="5" s="1"/>
  <c r="E225" i="5"/>
  <c r="F225" i="5" s="1"/>
  <c r="E199" i="5"/>
  <c r="F199" i="5" s="1"/>
  <c r="E173" i="5"/>
  <c r="F173" i="5" s="1"/>
  <c r="E137" i="5"/>
  <c r="F137" i="5" s="1"/>
  <c r="E133" i="5"/>
  <c r="F133" i="5" s="1"/>
  <c r="E97" i="5"/>
  <c r="F97" i="5" s="1"/>
  <c r="E71" i="5"/>
  <c r="F71" i="5" s="1"/>
  <c r="L445" i="5"/>
  <c r="M445" i="5" s="1"/>
  <c r="L439" i="5"/>
  <c r="M439" i="5" s="1"/>
  <c r="L436" i="5"/>
  <c r="M436" i="5" s="1"/>
  <c r="L433" i="5"/>
  <c r="M433" i="5" s="1"/>
  <c r="L424" i="5"/>
  <c r="M424" i="5" s="1"/>
  <c r="L408" i="5"/>
  <c r="M408" i="5" s="1"/>
  <c r="L402" i="5"/>
  <c r="M402" i="5" s="1"/>
  <c r="L386" i="5"/>
  <c r="M386" i="5" s="1"/>
  <c r="L334" i="5"/>
  <c r="M334" i="5" s="1"/>
  <c r="L331" i="5"/>
  <c r="M331" i="5" s="1"/>
  <c r="L310" i="5"/>
  <c r="M310" i="5" s="1"/>
  <c r="L291" i="5"/>
  <c r="M291" i="5" s="1"/>
  <c r="L288" i="5"/>
  <c r="M288" i="5" s="1"/>
  <c r="L282" i="5"/>
  <c r="M282" i="5" s="1"/>
  <c r="L278" i="5"/>
  <c r="M278" i="5" s="1"/>
  <c r="L275" i="5"/>
  <c r="M275" i="5" s="1"/>
  <c r="L266" i="5"/>
  <c r="M266" i="5" s="1"/>
  <c r="L236" i="5"/>
  <c r="M236" i="5" s="1"/>
  <c r="L232" i="5"/>
  <c r="M232" i="5" s="1"/>
  <c r="L191" i="5"/>
  <c r="M191" i="5" s="1"/>
  <c r="L159" i="5"/>
  <c r="M159" i="5" s="1"/>
  <c r="L105" i="5"/>
  <c r="M105" i="5" s="1"/>
  <c r="L90" i="5"/>
  <c r="M90" i="5" s="1"/>
  <c r="L41" i="5"/>
  <c r="M41" i="5" s="1"/>
  <c r="L34" i="5"/>
  <c r="M34" i="5" s="1"/>
  <c r="E435" i="5"/>
  <c r="F435" i="5" s="1"/>
  <c r="E213" i="5"/>
  <c r="F213" i="5" s="1"/>
  <c r="E176" i="5"/>
  <c r="F176" i="5" s="1"/>
  <c r="E74" i="5"/>
  <c r="F74" i="5" s="1"/>
  <c r="L477" i="5"/>
  <c r="M477" i="5" s="1"/>
  <c r="L413" i="5"/>
  <c r="M413" i="5" s="1"/>
  <c r="L370" i="5"/>
  <c r="M370" i="5" s="1"/>
  <c r="L352" i="5"/>
  <c r="M352" i="5" s="1"/>
  <c r="L316" i="5"/>
  <c r="M316" i="5" s="1"/>
  <c r="L252" i="5"/>
  <c r="M252" i="5" s="1"/>
  <c r="L235" i="5"/>
  <c r="M235" i="5" s="1"/>
  <c r="L220" i="5"/>
  <c r="M220" i="5" s="1"/>
  <c r="L196" i="5"/>
  <c r="M196" i="5" s="1"/>
  <c r="L185" i="5"/>
  <c r="M185" i="5" s="1"/>
  <c r="L164" i="5"/>
  <c r="M164" i="5" s="1"/>
  <c r="L153" i="5"/>
  <c r="M153" i="5" s="1"/>
  <c r="L137" i="5"/>
  <c r="M137" i="5" s="1"/>
  <c r="L135" i="5"/>
  <c r="M135" i="5" s="1"/>
  <c r="L114" i="5"/>
  <c r="M114" i="5" s="1"/>
  <c r="L87" i="5"/>
  <c r="M87" i="5" s="1"/>
  <c r="L74" i="5"/>
  <c r="M74" i="5" s="1"/>
  <c r="L65" i="5"/>
  <c r="M65" i="5" s="1"/>
  <c r="L23" i="5"/>
  <c r="M23" i="5" s="1"/>
  <c r="L13" i="5"/>
  <c r="M13" i="5" s="1"/>
  <c r="E276" i="5"/>
  <c r="F276" i="5" s="1"/>
  <c r="E262" i="5"/>
  <c r="F262" i="5" s="1"/>
  <c r="E23" i="5"/>
  <c r="F23" i="5" s="1"/>
  <c r="L453" i="5"/>
  <c r="M453" i="5" s="1"/>
  <c r="L442" i="5"/>
  <c r="M442" i="5" s="1"/>
  <c r="L429" i="5"/>
  <c r="M429" i="5" s="1"/>
  <c r="L381" i="5"/>
  <c r="M381" i="5" s="1"/>
  <c r="L372" i="5"/>
  <c r="M372" i="5" s="1"/>
  <c r="L369" i="5"/>
  <c r="M369" i="5" s="1"/>
  <c r="L363" i="5"/>
  <c r="M363" i="5" s="1"/>
  <c r="L360" i="5"/>
  <c r="M360" i="5" s="1"/>
  <c r="L339" i="5"/>
  <c r="M339" i="5" s="1"/>
  <c r="L315" i="5"/>
  <c r="M315" i="5" s="1"/>
  <c r="L312" i="5"/>
  <c r="M312" i="5" s="1"/>
  <c r="L251" i="5"/>
  <c r="M251" i="5" s="1"/>
  <c r="L228" i="5"/>
  <c r="M228" i="5" s="1"/>
  <c r="L204" i="5"/>
  <c r="M204" i="5" s="1"/>
  <c r="L140" i="5"/>
  <c r="M140" i="5" s="1"/>
  <c r="L116" i="5"/>
  <c r="M116" i="5" s="1"/>
  <c r="L98" i="5"/>
  <c r="M98" i="5" s="1"/>
  <c r="L58" i="5"/>
  <c r="M58" i="5" s="1"/>
  <c r="L52" i="5"/>
  <c r="M52" i="5" s="1"/>
  <c r="E185" i="5"/>
  <c r="F185" i="5" s="1"/>
  <c r="E129" i="5"/>
  <c r="F129" i="5" s="1"/>
  <c r="E217" i="5"/>
  <c r="F217" i="5" s="1"/>
  <c r="J333" i="5"/>
  <c r="L333" i="5" s="1"/>
  <c r="M333" i="5" s="1"/>
  <c r="E487" i="5"/>
  <c r="F487" i="5" s="1"/>
  <c r="E463" i="5"/>
  <c r="F463" i="5" s="1"/>
  <c r="E457" i="5"/>
  <c r="F457" i="5" s="1"/>
  <c r="E399" i="5"/>
  <c r="F399" i="5" s="1"/>
  <c r="E393" i="5"/>
  <c r="F393" i="5" s="1"/>
  <c r="E380" i="5"/>
  <c r="F380" i="5" s="1"/>
  <c r="E364" i="5"/>
  <c r="F364" i="5" s="1"/>
  <c r="E348" i="5"/>
  <c r="F348" i="5" s="1"/>
  <c r="E332" i="5"/>
  <c r="F332" i="5" s="1"/>
  <c r="E316" i="5"/>
  <c r="F316" i="5" s="1"/>
  <c r="E295" i="5"/>
  <c r="F295" i="5" s="1"/>
  <c r="E292" i="5"/>
  <c r="F292" i="5" s="1"/>
  <c r="E290" i="5"/>
  <c r="F290" i="5" s="1"/>
  <c r="E287" i="5"/>
  <c r="F287" i="5" s="1"/>
  <c r="E228" i="5"/>
  <c r="F228" i="5" s="1"/>
  <c r="E197" i="5"/>
  <c r="F197" i="5" s="1"/>
  <c r="E139" i="5"/>
  <c r="F139" i="5" s="1"/>
  <c r="E130" i="5"/>
  <c r="F130" i="5" s="1"/>
  <c r="E101" i="5"/>
  <c r="F101" i="5" s="1"/>
  <c r="E98" i="5"/>
  <c r="F98" i="5" s="1"/>
  <c r="E81" i="5"/>
  <c r="F81" i="5" s="1"/>
  <c r="C47" i="5"/>
  <c r="E47" i="5" s="1"/>
  <c r="F47" i="5" s="1"/>
  <c r="L495" i="5"/>
  <c r="M495" i="5" s="1"/>
  <c r="L492" i="5"/>
  <c r="M492" i="5" s="1"/>
  <c r="L490" i="5"/>
  <c r="M490" i="5" s="1"/>
  <c r="L487" i="5"/>
  <c r="M487" i="5" s="1"/>
  <c r="L484" i="5"/>
  <c r="M484" i="5" s="1"/>
  <c r="L482" i="5"/>
  <c r="M482" i="5" s="1"/>
  <c r="L479" i="5"/>
  <c r="M479" i="5" s="1"/>
  <c r="L476" i="5"/>
  <c r="M476" i="5" s="1"/>
  <c r="L474" i="5"/>
  <c r="M474" i="5" s="1"/>
  <c r="L468" i="5"/>
  <c r="M468" i="5" s="1"/>
  <c r="L465" i="5"/>
  <c r="M465" i="5" s="1"/>
  <c r="J422" i="5"/>
  <c r="L422" i="5" s="1"/>
  <c r="M422" i="5" s="1"/>
  <c r="L388" i="5"/>
  <c r="M388" i="5" s="1"/>
  <c r="L385" i="5"/>
  <c r="M385" i="5" s="1"/>
  <c r="J353" i="5"/>
  <c r="L353" i="5" s="1"/>
  <c r="M353" i="5" s="1"/>
  <c r="E249" i="5"/>
  <c r="F249" i="5" s="1"/>
  <c r="C51" i="5"/>
  <c r="E51" i="5" s="1"/>
  <c r="F51" i="5" s="1"/>
  <c r="J398" i="5"/>
  <c r="L398" i="5" s="1"/>
  <c r="M398" i="5" s="1"/>
  <c r="E478" i="5"/>
  <c r="F478" i="5" s="1"/>
  <c r="E462" i="5"/>
  <c r="F462" i="5" s="1"/>
  <c r="E456" i="5"/>
  <c r="F456" i="5" s="1"/>
  <c r="E423" i="5"/>
  <c r="F423" i="5" s="1"/>
  <c r="E414" i="5"/>
  <c r="F414" i="5" s="1"/>
  <c r="E300" i="5"/>
  <c r="F300" i="5" s="1"/>
  <c r="E289" i="5"/>
  <c r="F289" i="5" s="1"/>
  <c r="E258" i="5"/>
  <c r="F258" i="5" s="1"/>
  <c r="E234" i="5"/>
  <c r="F234" i="5" s="1"/>
  <c r="E202" i="5"/>
  <c r="F202" i="5" s="1"/>
  <c r="E159" i="5"/>
  <c r="F159" i="5" s="1"/>
  <c r="E147" i="5"/>
  <c r="F147" i="5" s="1"/>
  <c r="E138" i="5"/>
  <c r="F138" i="5" s="1"/>
  <c r="E114" i="5"/>
  <c r="F114" i="5" s="1"/>
  <c r="C107" i="5"/>
  <c r="E107" i="5" s="1"/>
  <c r="F107" i="5" s="1"/>
  <c r="C67" i="5"/>
  <c r="E67" i="5" s="1"/>
  <c r="F67" i="5" s="1"/>
  <c r="E43" i="5"/>
  <c r="F43" i="5" s="1"/>
  <c r="J446" i="5"/>
  <c r="L446" i="5" s="1"/>
  <c r="M446" i="5" s="1"/>
  <c r="L412" i="5"/>
  <c r="M412" i="5" s="1"/>
  <c r="L409" i="5"/>
  <c r="M409" i="5" s="1"/>
  <c r="J382" i="5"/>
  <c r="L382" i="5" s="1"/>
  <c r="M382" i="5" s="1"/>
  <c r="J219" i="5"/>
  <c r="L219" i="5" s="1"/>
  <c r="M219" i="5" s="1"/>
  <c r="J213" i="5"/>
  <c r="L213" i="5" s="1"/>
  <c r="M213" i="5" s="1"/>
  <c r="E495" i="5"/>
  <c r="F495" i="5" s="1"/>
  <c r="E486" i="5"/>
  <c r="F486" i="5" s="1"/>
  <c r="E438" i="5"/>
  <c r="F438" i="5" s="1"/>
  <c r="E377" i="5"/>
  <c r="F377" i="5" s="1"/>
  <c r="E361" i="5"/>
  <c r="F361" i="5" s="1"/>
  <c r="E345" i="5"/>
  <c r="F345" i="5" s="1"/>
  <c r="E329" i="5"/>
  <c r="F329" i="5" s="1"/>
  <c r="E313" i="5"/>
  <c r="F313" i="5" s="1"/>
  <c r="E266" i="5"/>
  <c r="F266" i="5" s="1"/>
  <c r="E257" i="5"/>
  <c r="F257" i="5" s="1"/>
  <c r="E193" i="5"/>
  <c r="F193" i="5" s="1"/>
  <c r="E146" i="5"/>
  <c r="F146" i="5" s="1"/>
  <c r="E26" i="5"/>
  <c r="F26" i="5" s="1"/>
  <c r="J454" i="5"/>
  <c r="L454" i="5" s="1"/>
  <c r="M454" i="5" s="1"/>
  <c r="J406" i="5"/>
  <c r="L406" i="5" s="1"/>
  <c r="M406" i="5" s="1"/>
  <c r="J335" i="5"/>
  <c r="L335" i="5" s="1"/>
  <c r="M335" i="5" s="1"/>
  <c r="E352" i="5"/>
  <c r="F352" i="5" s="1"/>
  <c r="E320" i="5"/>
  <c r="F320" i="5" s="1"/>
  <c r="E284" i="5"/>
  <c r="F284" i="5" s="1"/>
  <c r="E489" i="5"/>
  <c r="F489" i="5" s="1"/>
  <c r="E471" i="5"/>
  <c r="F471" i="5" s="1"/>
  <c r="E465" i="5"/>
  <c r="F465" i="5" s="1"/>
  <c r="E446" i="5"/>
  <c r="F446" i="5" s="1"/>
  <c r="E443" i="5"/>
  <c r="F443" i="5" s="1"/>
  <c r="E440" i="5"/>
  <c r="F440" i="5" s="1"/>
  <c r="E407" i="5"/>
  <c r="F407" i="5" s="1"/>
  <c r="E401" i="5"/>
  <c r="F401" i="5" s="1"/>
  <c r="E398" i="5"/>
  <c r="F398" i="5" s="1"/>
  <c r="E376" i="5"/>
  <c r="F376" i="5" s="1"/>
  <c r="E360" i="5"/>
  <c r="F360" i="5" s="1"/>
  <c r="E344" i="5"/>
  <c r="F344" i="5" s="1"/>
  <c r="E328" i="5"/>
  <c r="F328" i="5" s="1"/>
  <c r="E312" i="5"/>
  <c r="F312" i="5" s="1"/>
  <c r="E274" i="5"/>
  <c r="F274" i="5" s="1"/>
  <c r="E268" i="5"/>
  <c r="F268" i="5" s="1"/>
  <c r="E242" i="5"/>
  <c r="F242" i="5" s="1"/>
  <c r="E222" i="5"/>
  <c r="F222" i="5" s="1"/>
  <c r="E208" i="5"/>
  <c r="F208" i="5" s="1"/>
  <c r="E205" i="5"/>
  <c r="F205" i="5" s="1"/>
  <c r="E186" i="5"/>
  <c r="F186" i="5" s="1"/>
  <c r="E143" i="5"/>
  <c r="F143" i="5" s="1"/>
  <c r="E63" i="5"/>
  <c r="F63" i="5" s="1"/>
  <c r="E49" i="5"/>
  <c r="F49" i="5" s="1"/>
  <c r="L489" i="5"/>
  <c r="M489" i="5" s="1"/>
  <c r="L481" i="5"/>
  <c r="M481" i="5" s="1"/>
  <c r="L473" i="5"/>
  <c r="M473" i="5" s="1"/>
  <c r="J462" i="5"/>
  <c r="L462" i="5" s="1"/>
  <c r="M462" i="5" s="1"/>
  <c r="J430" i="5"/>
  <c r="L430" i="5" s="1"/>
  <c r="M430" i="5" s="1"/>
  <c r="E384" i="5"/>
  <c r="F384" i="5" s="1"/>
  <c r="E447" i="5"/>
  <c r="F447" i="5" s="1"/>
  <c r="E470" i="5"/>
  <c r="F470" i="5" s="1"/>
  <c r="E467" i="5"/>
  <c r="F467" i="5" s="1"/>
  <c r="E431" i="5"/>
  <c r="F431" i="5" s="1"/>
  <c r="E422" i="5"/>
  <c r="F422" i="5" s="1"/>
  <c r="E403" i="5"/>
  <c r="F403" i="5" s="1"/>
  <c r="E388" i="5"/>
  <c r="F388" i="5" s="1"/>
  <c r="E386" i="5"/>
  <c r="F386" i="5" s="1"/>
  <c r="E372" i="5"/>
  <c r="F372" i="5" s="1"/>
  <c r="E356" i="5"/>
  <c r="F356" i="5" s="1"/>
  <c r="E340" i="5"/>
  <c r="F340" i="5" s="1"/>
  <c r="E324" i="5"/>
  <c r="F324" i="5" s="1"/>
  <c r="E308" i="5"/>
  <c r="F308" i="5" s="1"/>
  <c r="E288" i="5"/>
  <c r="F288" i="5" s="1"/>
  <c r="E273" i="5"/>
  <c r="F273" i="5" s="1"/>
  <c r="E265" i="5"/>
  <c r="F265" i="5" s="1"/>
  <c r="E233" i="5"/>
  <c r="F233" i="5" s="1"/>
  <c r="E221" i="5"/>
  <c r="F221" i="5" s="1"/>
  <c r="E218" i="5"/>
  <c r="F218" i="5" s="1"/>
  <c r="E215" i="5"/>
  <c r="F215" i="5" s="1"/>
  <c r="E210" i="5"/>
  <c r="F210" i="5" s="1"/>
  <c r="E204" i="5"/>
  <c r="F204" i="5" s="1"/>
  <c r="E201" i="5"/>
  <c r="F201" i="5" s="1"/>
  <c r="E189" i="5"/>
  <c r="F189" i="5" s="1"/>
  <c r="E177" i="5"/>
  <c r="F177" i="5" s="1"/>
  <c r="E169" i="5"/>
  <c r="F169" i="5" s="1"/>
  <c r="E157" i="5"/>
  <c r="F157" i="5" s="1"/>
  <c r="E83" i="5"/>
  <c r="F83" i="5" s="1"/>
  <c r="E31" i="5"/>
  <c r="F31" i="5" s="1"/>
  <c r="C15" i="5"/>
  <c r="E15" i="5" s="1"/>
  <c r="F15" i="5" s="1"/>
  <c r="C11" i="5"/>
  <c r="E11" i="5" s="1"/>
  <c r="F11" i="5" s="1"/>
  <c r="J494" i="5"/>
  <c r="L494" i="5" s="1"/>
  <c r="M494" i="5" s="1"/>
  <c r="J486" i="5"/>
  <c r="L486" i="5" s="1"/>
  <c r="M486" i="5" s="1"/>
  <c r="J478" i="5"/>
  <c r="L478" i="5" s="1"/>
  <c r="M478" i="5" s="1"/>
  <c r="J470" i="5"/>
  <c r="L470" i="5" s="1"/>
  <c r="M470" i="5" s="1"/>
  <c r="L420" i="5"/>
  <c r="M420" i="5" s="1"/>
  <c r="L417" i="5"/>
  <c r="M417" i="5" s="1"/>
  <c r="J390" i="5"/>
  <c r="L390" i="5" s="1"/>
  <c r="M390" i="5" s="1"/>
  <c r="E368" i="5"/>
  <c r="F368" i="5" s="1"/>
  <c r="E336" i="5"/>
  <c r="F336" i="5" s="1"/>
  <c r="E491" i="5"/>
  <c r="F491" i="5" s="1"/>
  <c r="E455" i="5"/>
  <c r="F455" i="5" s="1"/>
  <c r="E449" i="5"/>
  <c r="F449" i="5" s="1"/>
  <c r="E382" i="5"/>
  <c r="F382" i="5" s="1"/>
  <c r="E366" i="5"/>
  <c r="F366" i="5" s="1"/>
  <c r="E350" i="5"/>
  <c r="F350" i="5" s="1"/>
  <c r="E334" i="5"/>
  <c r="F334" i="5" s="1"/>
  <c r="E318" i="5"/>
  <c r="F318" i="5" s="1"/>
  <c r="E241" i="5"/>
  <c r="F241" i="5" s="1"/>
  <c r="E212" i="5"/>
  <c r="F212" i="5" s="1"/>
  <c r="E180" i="5"/>
  <c r="F180" i="5" s="1"/>
  <c r="E131" i="5"/>
  <c r="F131" i="5" s="1"/>
  <c r="E122" i="5"/>
  <c r="F122" i="5" s="1"/>
  <c r="E119" i="5"/>
  <c r="F119" i="5" s="1"/>
  <c r="E99" i="5"/>
  <c r="F99" i="5" s="1"/>
  <c r="E79" i="5"/>
  <c r="F79" i="5" s="1"/>
  <c r="E58" i="5"/>
  <c r="F58" i="5" s="1"/>
  <c r="L444" i="5"/>
  <c r="M444" i="5" s="1"/>
  <c r="L441" i="5"/>
  <c r="M441" i="5" s="1"/>
  <c r="J414" i="5"/>
  <c r="L414" i="5" s="1"/>
  <c r="M414" i="5" s="1"/>
  <c r="L380" i="5"/>
  <c r="M380" i="5" s="1"/>
  <c r="L377" i="5"/>
  <c r="M377" i="5" s="1"/>
  <c r="E494" i="5"/>
  <c r="F494" i="5" s="1"/>
  <c r="E479" i="5"/>
  <c r="F479" i="5" s="1"/>
  <c r="E454" i="5"/>
  <c r="F454" i="5" s="1"/>
  <c r="C439" i="5"/>
  <c r="E439" i="5" s="1"/>
  <c r="F439" i="5" s="1"/>
  <c r="C430" i="5"/>
  <c r="E430" i="5" s="1"/>
  <c r="F430" i="5" s="1"/>
  <c r="E415" i="5"/>
  <c r="F415" i="5" s="1"/>
  <c r="E406" i="5"/>
  <c r="F406" i="5" s="1"/>
  <c r="E369" i="5"/>
  <c r="F369" i="5" s="1"/>
  <c r="E353" i="5"/>
  <c r="F353" i="5" s="1"/>
  <c r="E337" i="5"/>
  <c r="F337" i="5" s="1"/>
  <c r="E321" i="5"/>
  <c r="F321" i="5" s="1"/>
  <c r="E305" i="5"/>
  <c r="F305" i="5" s="1"/>
  <c r="E302" i="5"/>
  <c r="F302" i="5" s="1"/>
  <c r="E250" i="5"/>
  <c r="F250" i="5" s="1"/>
  <c r="C183" i="5"/>
  <c r="E183" i="5" s="1"/>
  <c r="F183" i="5" s="1"/>
  <c r="C82" i="5"/>
  <c r="E82" i="5" s="1"/>
  <c r="F82" i="5" s="1"/>
  <c r="L452" i="5"/>
  <c r="M452" i="5" s="1"/>
  <c r="L449" i="5"/>
  <c r="M449" i="5" s="1"/>
  <c r="J438" i="5"/>
  <c r="L438" i="5" s="1"/>
  <c r="M438" i="5" s="1"/>
  <c r="L404" i="5"/>
  <c r="M404" i="5" s="1"/>
  <c r="L401" i="5"/>
  <c r="M401" i="5" s="1"/>
  <c r="J374" i="5"/>
  <c r="L374" i="5" s="1"/>
  <c r="M374" i="5" s="1"/>
  <c r="J297" i="5"/>
  <c r="L297" i="5" s="1"/>
  <c r="M297" i="5" s="1"/>
  <c r="J261" i="5"/>
  <c r="L261" i="5" s="1"/>
  <c r="M261" i="5" s="1"/>
  <c r="E93" i="5"/>
  <c r="F93" i="5" s="1"/>
  <c r="E75" i="5"/>
  <c r="F75" i="5" s="1"/>
  <c r="E66" i="5"/>
  <c r="F66" i="5" s="1"/>
  <c r="E37" i="5"/>
  <c r="F37" i="5" s="1"/>
  <c r="E5" i="5"/>
  <c r="F5" i="5" s="1"/>
  <c r="L356" i="5"/>
  <c r="M356" i="5" s="1"/>
  <c r="L350" i="5"/>
  <c r="M350" i="5" s="1"/>
  <c r="L341" i="5"/>
  <c r="M341" i="5" s="1"/>
  <c r="J305" i="5"/>
  <c r="L305" i="5" s="1"/>
  <c r="M305" i="5" s="1"/>
  <c r="L296" i="5"/>
  <c r="M296" i="5" s="1"/>
  <c r="J285" i="5"/>
  <c r="L285" i="5" s="1"/>
  <c r="M285" i="5" s="1"/>
  <c r="L248" i="5"/>
  <c r="M248" i="5" s="1"/>
  <c r="E90" i="5"/>
  <c r="F90" i="5" s="1"/>
  <c r="E34" i="5"/>
  <c r="F34" i="5" s="1"/>
  <c r="E19" i="5"/>
  <c r="F19" i="5" s="1"/>
  <c r="J319" i="5"/>
  <c r="L319" i="5" s="1"/>
  <c r="M319" i="5" s="1"/>
  <c r="L317" i="5"/>
  <c r="M317" i="5" s="1"/>
  <c r="L304" i="5"/>
  <c r="M304" i="5" s="1"/>
  <c r="L272" i="5"/>
  <c r="M272" i="5" s="1"/>
  <c r="J245" i="5"/>
  <c r="L245" i="5" s="1"/>
  <c r="M245" i="5" s="1"/>
  <c r="J293" i="5"/>
  <c r="L293" i="5" s="1"/>
  <c r="M293" i="5" s="1"/>
  <c r="J269" i="5"/>
  <c r="L269" i="5" s="1"/>
  <c r="M269" i="5" s="1"/>
  <c r="J209" i="5"/>
  <c r="L209" i="5" s="1"/>
  <c r="M209" i="5" s="1"/>
  <c r="E42" i="5"/>
  <c r="F42" i="5" s="1"/>
  <c r="E33" i="5"/>
  <c r="F33" i="5" s="1"/>
  <c r="E27" i="5"/>
  <c r="F27" i="5" s="1"/>
  <c r="E10" i="5"/>
  <c r="F10" i="5" s="1"/>
  <c r="L491" i="5"/>
  <c r="M491" i="5" s="1"/>
  <c r="L483" i="5"/>
  <c r="M483" i="5" s="1"/>
  <c r="L475" i="5"/>
  <c r="M475" i="5" s="1"/>
  <c r="L467" i="5"/>
  <c r="M467" i="5" s="1"/>
  <c r="L459" i="5"/>
  <c r="M459" i="5" s="1"/>
  <c r="L451" i="5"/>
  <c r="M451" i="5" s="1"/>
  <c r="L443" i="5"/>
  <c r="M443" i="5" s="1"/>
  <c r="L435" i="5"/>
  <c r="M435" i="5" s="1"/>
  <c r="L427" i="5"/>
  <c r="M427" i="5" s="1"/>
  <c r="L419" i="5"/>
  <c r="M419" i="5" s="1"/>
  <c r="L411" i="5"/>
  <c r="M411" i="5" s="1"/>
  <c r="L403" i="5"/>
  <c r="M403" i="5" s="1"/>
  <c r="L395" i="5"/>
  <c r="M395" i="5" s="1"/>
  <c r="L387" i="5"/>
  <c r="M387" i="5" s="1"/>
  <c r="L379" i="5"/>
  <c r="M379" i="5" s="1"/>
  <c r="L371" i="5"/>
  <c r="M371" i="5" s="1"/>
  <c r="J321" i="5"/>
  <c r="L321" i="5" s="1"/>
  <c r="M321" i="5" s="1"/>
  <c r="L309" i="5"/>
  <c r="M309" i="5" s="1"/>
  <c r="J301" i="5"/>
  <c r="L301" i="5" s="1"/>
  <c r="M301" i="5" s="1"/>
  <c r="L256" i="5"/>
  <c r="M256" i="5" s="1"/>
  <c r="J229" i="5"/>
  <c r="L229" i="5" s="1"/>
  <c r="M229" i="5" s="1"/>
  <c r="E115" i="5"/>
  <c r="F115" i="5" s="1"/>
  <c r="E109" i="5"/>
  <c r="F109" i="5" s="1"/>
  <c r="E59" i="5"/>
  <c r="F59" i="5" s="1"/>
  <c r="E21" i="5"/>
  <c r="F21" i="5" s="1"/>
  <c r="L357" i="5"/>
  <c r="M357" i="5" s="1"/>
  <c r="L351" i="5"/>
  <c r="M351" i="5" s="1"/>
  <c r="L340" i="5"/>
  <c r="M340" i="5" s="1"/>
  <c r="J327" i="5"/>
  <c r="L327" i="5" s="1"/>
  <c r="M327" i="5" s="1"/>
  <c r="L325" i="5"/>
  <c r="M325" i="5" s="1"/>
  <c r="L280" i="5"/>
  <c r="M280" i="5" s="1"/>
  <c r="J253" i="5"/>
  <c r="L253" i="5" s="1"/>
  <c r="M253" i="5" s="1"/>
  <c r="E106" i="5"/>
  <c r="F106" i="5" s="1"/>
  <c r="E91" i="5"/>
  <c r="F91" i="5" s="1"/>
  <c r="E50" i="5"/>
  <c r="F50" i="5" s="1"/>
  <c r="E35" i="5"/>
  <c r="F35" i="5" s="1"/>
  <c r="E3" i="5"/>
  <c r="F3" i="5" s="1"/>
  <c r="L292" i="5"/>
  <c r="M292" i="5" s="1"/>
  <c r="J277" i="5"/>
  <c r="L277" i="5" s="1"/>
  <c r="M277" i="5" s="1"/>
  <c r="L240" i="5"/>
  <c r="M240" i="5" s="1"/>
  <c r="L364" i="5"/>
  <c r="M364" i="5" s="1"/>
  <c r="L349" i="5"/>
  <c r="M349" i="5" s="1"/>
  <c r="J329" i="5"/>
  <c r="L329" i="5" s="1"/>
  <c r="M329" i="5" s="1"/>
  <c r="J313" i="5"/>
  <c r="L313" i="5" s="1"/>
  <c r="M313" i="5" s="1"/>
  <c r="J289" i="5"/>
  <c r="L289" i="5" s="1"/>
  <c r="M289" i="5" s="1"/>
  <c r="L264" i="5"/>
  <c r="M264" i="5" s="1"/>
  <c r="J237" i="5"/>
  <c r="L237" i="5" s="1"/>
  <c r="M237" i="5" s="1"/>
  <c r="L281" i="5"/>
  <c r="M281" i="5" s="1"/>
  <c r="L273" i="5"/>
  <c r="M273" i="5" s="1"/>
  <c r="L265" i="5"/>
  <c r="M265" i="5" s="1"/>
  <c r="L257" i="5"/>
  <c r="M257" i="5" s="1"/>
  <c r="L249" i="5"/>
  <c r="M249" i="5" s="1"/>
  <c r="L241" i="5"/>
  <c r="M241" i="5" s="1"/>
  <c r="L233" i="5"/>
  <c r="M233" i="5" s="1"/>
  <c r="J221" i="5"/>
  <c r="L221" i="5" s="1"/>
  <c r="M221" i="5" s="1"/>
  <c r="L217" i="5"/>
  <c r="M217" i="5" s="1"/>
  <c r="J134" i="5"/>
  <c r="L134" i="5" s="1"/>
  <c r="M134" i="5" s="1"/>
  <c r="J102" i="5"/>
  <c r="L102" i="5" s="1"/>
  <c r="M102" i="5" s="1"/>
  <c r="J70" i="5"/>
  <c r="L70" i="5" s="1"/>
  <c r="M70" i="5" s="1"/>
  <c r="J38" i="5"/>
  <c r="L38" i="5" s="1"/>
  <c r="M38" i="5" s="1"/>
  <c r="J6" i="5"/>
  <c r="L6" i="5" s="1"/>
  <c r="M6" i="5" s="1"/>
  <c r="L225" i="5"/>
  <c r="M225" i="5" s="1"/>
  <c r="L201" i="5"/>
  <c r="M201" i="5" s="1"/>
  <c r="L198" i="5"/>
  <c r="M198" i="5" s="1"/>
  <c r="L145" i="5"/>
  <c r="M145" i="5" s="1"/>
  <c r="L124" i="5"/>
  <c r="M124" i="5" s="1"/>
  <c r="L121" i="5"/>
  <c r="M121" i="5" s="1"/>
  <c r="L113" i="5"/>
  <c r="M113" i="5" s="1"/>
  <c r="L92" i="5"/>
  <c r="M92" i="5" s="1"/>
  <c r="L81" i="5"/>
  <c r="M81" i="5" s="1"/>
  <c r="L60" i="5"/>
  <c r="M60" i="5" s="1"/>
  <c r="L49" i="5"/>
  <c r="M49" i="5" s="1"/>
  <c r="L37" i="5"/>
  <c r="M37" i="5" s="1"/>
  <c r="L28" i="5"/>
  <c r="M28" i="5" s="1"/>
  <c r="L17" i="5"/>
  <c r="M17" i="5" s="1"/>
  <c r="L5" i="5"/>
  <c r="M5" i="5" s="1"/>
  <c r="L311" i="5"/>
  <c r="M311" i="5" s="1"/>
  <c r="L303" i="5"/>
  <c r="M303" i="5" s="1"/>
  <c r="L295" i="5"/>
  <c r="M295" i="5" s="1"/>
  <c r="L287" i="5"/>
  <c r="M287" i="5" s="1"/>
  <c r="L279" i="5"/>
  <c r="M279" i="5" s="1"/>
  <c r="L271" i="5"/>
  <c r="M271" i="5" s="1"/>
  <c r="L263" i="5"/>
  <c r="M263" i="5" s="1"/>
  <c r="L255" i="5"/>
  <c r="M255" i="5" s="1"/>
  <c r="L247" i="5"/>
  <c r="M247" i="5" s="1"/>
  <c r="L239" i="5"/>
  <c r="M239" i="5" s="1"/>
  <c r="L231" i="5"/>
  <c r="M231" i="5" s="1"/>
  <c r="L222" i="5"/>
  <c r="M222" i="5" s="1"/>
  <c r="J142" i="5"/>
  <c r="L142" i="5" s="1"/>
  <c r="M142" i="5" s="1"/>
  <c r="J110" i="5"/>
  <c r="L110" i="5" s="1"/>
  <c r="M110" i="5" s="1"/>
  <c r="J78" i="5"/>
  <c r="L78" i="5" s="1"/>
  <c r="M78" i="5" s="1"/>
  <c r="J46" i="5"/>
  <c r="L46" i="5" s="1"/>
  <c r="M46" i="5" s="1"/>
  <c r="J14" i="5"/>
  <c r="L14" i="5" s="1"/>
  <c r="M14" i="5" s="1"/>
  <c r="J205" i="5"/>
  <c r="L205" i="5" s="1"/>
  <c r="M205" i="5" s="1"/>
  <c r="J190" i="5"/>
  <c r="L190" i="5" s="1"/>
  <c r="M190" i="5" s="1"/>
  <c r="J182" i="5"/>
  <c r="L182" i="5" s="1"/>
  <c r="M182" i="5" s="1"/>
  <c r="J174" i="5"/>
  <c r="L174" i="5" s="1"/>
  <c r="M174" i="5" s="1"/>
  <c r="J166" i="5"/>
  <c r="L166" i="5" s="1"/>
  <c r="M166" i="5" s="1"/>
  <c r="J158" i="5"/>
  <c r="L158" i="5" s="1"/>
  <c r="M158" i="5" s="1"/>
  <c r="J150" i="5"/>
  <c r="L150" i="5" s="1"/>
  <c r="M150" i="5" s="1"/>
  <c r="L207" i="5"/>
  <c r="M207" i="5" s="1"/>
  <c r="J118" i="5"/>
  <c r="L118" i="5" s="1"/>
  <c r="M118" i="5" s="1"/>
  <c r="J86" i="5"/>
  <c r="L86" i="5" s="1"/>
  <c r="M86" i="5" s="1"/>
  <c r="J54" i="5"/>
  <c r="L54" i="5" s="1"/>
  <c r="M54" i="5" s="1"/>
  <c r="J22" i="5"/>
  <c r="L22" i="5" s="1"/>
  <c r="M22" i="5" s="1"/>
  <c r="J211" i="5"/>
  <c r="L211" i="5" s="1"/>
  <c r="M211" i="5" s="1"/>
  <c r="J126" i="5"/>
  <c r="L126" i="5" s="1"/>
  <c r="M126" i="5" s="1"/>
  <c r="J94" i="5"/>
  <c r="L94" i="5" s="1"/>
  <c r="M94" i="5" s="1"/>
  <c r="J62" i="5"/>
  <c r="L62" i="5" s="1"/>
  <c r="M62" i="5" s="1"/>
  <c r="J30" i="5"/>
  <c r="L30" i="5" s="1"/>
  <c r="M30" i="5" s="1"/>
  <c r="L197" i="5"/>
  <c r="M197" i="5" s="1"/>
  <c r="L189" i="5"/>
  <c r="M189" i="5" s="1"/>
  <c r="L181" i="5"/>
  <c r="M181" i="5" s="1"/>
  <c r="L173" i="5"/>
  <c r="M173" i="5" s="1"/>
  <c r="L165" i="5"/>
  <c r="M165" i="5" s="1"/>
  <c r="L157" i="5"/>
  <c r="M157" i="5" s="1"/>
  <c r="L149" i="5"/>
  <c r="M149" i="5" s="1"/>
  <c r="L141" i="5"/>
  <c r="M141" i="5" s="1"/>
  <c r="L133" i="5"/>
  <c r="M133" i="5" s="1"/>
  <c r="L125" i="5"/>
  <c r="M125" i="5" s="1"/>
  <c r="L117" i="5"/>
  <c r="M117" i="5" s="1"/>
  <c r="L109" i="5"/>
  <c r="M109" i="5" s="1"/>
  <c r="L101" i="5"/>
  <c r="M101" i="5" s="1"/>
  <c r="L93" i="5"/>
  <c r="M93" i="5" s="1"/>
  <c r="L85" i="5"/>
  <c r="M85" i="5" s="1"/>
  <c r="L77" i="5"/>
  <c r="M77" i="5" s="1"/>
  <c r="L69" i="5"/>
  <c r="M69" i="5" s="1"/>
  <c r="L61" i="5"/>
  <c r="M61" i="5" s="1"/>
  <c r="L53" i="5"/>
  <c r="M53" i="5" s="1"/>
  <c r="L45" i="5"/>
  <c r="M45" i="5" s="1"/>
  <c r="L203" i="5"/>
  <c r="M203" i="5" s="1"/>
  <c r="L195" i="5"/>
  <c r="M195" i="5" s="1"/>
  <c r="L187" i="5"/>
  <c r="M187" i="5" s="1"/>
  <c r="L179" i="5"/>
  <c r="M179" i="5" s="1"/>
  <c r="L171" i="5"/>
  <c r="M171" i="5" s="1"/>
  <c r="L163" i="5"/>
  <c r="M163" i="5" s="1"/>
  <c r="L155" i="5"/>
  <c r="M155" i="5" s="1"/>
  <c r="L147" i="5"/>
  <c r="M147" i="5" s="1"/>
  <c r="L139" i="5"/>
  <c r="M139" i="5" s="1"/>
  <c r="L131" i="5"/>
  <c r="M131" i="5" s="1"/>
  <c r="L123" i="5"/>
  <c r="M123" i="5" s="1"/>
  <c r="L115" i="5"/>
  <c r="M115" i="5" s="1"/>
  <c r="L107" i="5"/>
  <c r="M107" i="5" s="1"/>
  <c r="L99" i="5"/>
  <c r="M99" i="5" s="1"/>
  <c r="L91" i="5"/>
  <c r="M91" i="5" s="1"/>
  <c r="L83" i="5"/>
  <c r="M83" i="5" s="1"/>
  <c r="L75" i="5"/>
  <c r="M75" i="5" s="1"/>
  <c r="L67" i="5"/>
  <c r="M67" i="5" s="1"/>
  <c r="L59" i="5"/>
  <c r="M59" i="5" s="1"/>
  <c r="L51" i="5"/>
  <c r="M51" i="5" s="1"/>
  <c r="L43" i="5"/>
  <c r="M43" i="5" s="1"/>
  <c r="L35" i="5"/>
  <c r="M35" i="5" s="1"/>
  <c r="L27" i="5"/>
  <c r="M27" i="5" s="1"/>
  <c r="L19" i="5"/>
  <c r="M19" i="5" s="1"/>
  <c r="L11" i="5"/>
  <c r="M11" i="5" s="1"/>
  <c r="L3" i="5"/>
  <c r="M3" i="5" s="1"/>
  <c r="C482" i="5"/>
  <c r="E482" i="5" s="1"/>
  <c r="F482" i="5" s="1"/>
  <c r="E480" i="5"/>
  <c r="F480" i="5" s="1"/>
  <c r="C490" i="5"/>
  <c r="E490" i="5" s="1"/>
  <c r="F490" i="5" s="1"/>
  <c r="E488" i="5"/>
  <c r="F488" i="5" s="1"/>
  <c r="E464" i="5"/>
  <c r="F464" i="5" s="1"/>
  <c r="E448" i="5"/>
  <c r="F448" i="5" s="1"/>
  <c r="C285" i="5"/>
  <c r="E285" i="5" s="1"/>
  <c r="F285" i="5" s="1"/>
  <c r="C203" i="5"/>
  <c r="E203" i="5" s="1"/>
  <c r="F203" i="5" s="1"/>
  <c r="C38" i="5"/>
  <c r="E38" i="5" s="1"/>
  <c r="F38" i="5" s="1"/>
  <c r="C6" i="5"/>
  <c r="E6" i="5" s="1"/>
  <c r="F6" i="5" s="1"/>
  <c r="C432" i="5"/>
  <c r="E432" i="5" s="1"/>
  <c r="F432" i="5" s="1"/>
  <c r="C424" i="5"/>
  <c r="E424" i="5" s="1"/>
  <c r="F424" i="5" s="1"/>
  <c r="C416" i="5"/>
  <c r="E416" i="5" s="1"/>
  <c r="F416" i="5" s="1"/>
  <c r="C408" i="5"/>
  <c r="E408" i="5" s="1"/>
  <c r="F408" i="5" s="1"/>
  <c r="C400" i="5"/>
  <c r="E400" i="5" s="1"/>
  <c r="F400" i="5" s="1"/>
  <c r="C392" i="5"/>
  <c r="E392" i="5" s="1"/>
  <c r="F392" i="5" s="1"/>
  <c r="E298" i="5"/>
  <c r="F298" i="5" s="1"/>
  <c r="C237" i="5"/>
  <c r="E237" i="5" s="1"/>
  <c r="F237" i="5" s="1"/>
  <c r="C70" i="5"/>
  <c r="E70" i="5" s="1"/>
  <c r="F70" i="5" s="1"/>
  <c r="C291" i="5"/>
  <c r="E291" i="5" s="1"/>
  <c r="F291" i="5" s="1"/>
  <c r="C275" i="5"/>
  <c r="E275" i="5" s="1"/>
  <c r="F275" i="5" s="1"/>
  <c r="C102" i="5"/>
  <c r="E102" i="5" s="1"/>
  <c r="F102" i="5" s="1"/>
  <c r="E492" i="5"/>
  <c r="F492" i="5" s="1"/>
  <c r="E460" i="5"/>
  <c r="F460" i="5" s="1"/>
  <c r="E412" i="5"/>
  <c r="F412" i="5" s="1"/>
  <c r="E396" i="5"/>
  <c r="F396" i="5" s="1"/>
  <c r="C293" i="5"/>
  <c r="E293" i="5" s="1"/>
  <c r="F293" i="5" s="1"/>
  <c r="E282" i="5"/>
  <c r="F282" i="5" s="1"/>
  <c r="C245" i="5"/>
  <c r="E245" i="5" s="1"/>
  <c r="F245" i="5" s="1"/>
  <c r="C191" i="5"/>
  <c r="E191" i="5" s="1"/>
  <c r="F191" i="5" s="1"/>
  <c r="E484" i="5"/>
  <c r="F484" i="5" s="1"/>
  <c r="E468" i="5"/>
  <c r="F468" i="5" s="1"/>
  <c r="E444" i="5"/>
  <c r="F444" i="5" s="1"/>
  <c r="E420" i="5"/>
  <c r="F420" i="5" s="1"/>
  <c r="E404" i="5"/>
  <c r="F404" i="5" s="1"/>
  <c r="E391" i="5"/>
  <c r="F391" i="5" s="1"/>
  <c r="E378" i="5"/>
  <c r="F378" i="5" s="1"/>
  <c r="E370" i="5"/>
  <c r="F370" i="5" s="1"/>
  <c r="E362" i="5"/>
  <c r="F362" i="5" s="1"/>
  <c r="E354" i="5"/>
  <c r="F354" i="5" s="1"/>
  <c r="E346" i="5"/>
  <c r="F346" i="5" s="1"/>
  <c r="E338" i="5"/>
  <c r="F338" i="5" s="1"/>
  <c r="E330" i="5"/>
  <c r="F330" i="5" s="1"/>
  <c r="E322" i="5"/>
  <c r="F322" i="5" s="1"/>
  <c r="E314" i="5"/>
  <c r="F314" i="5" s="1"/>
  <c r="E306" i="5"/>
  <c r="F306" i="5" s="1"/>
  <c r="C267" i="5"/>
  <c r="E267" i="5" s="1"/>
  <c r="F267" i="5" s="1"/>
  <c r="C227" i="5"/>
  <c r="E227" i="5" s="1"/>
  <c r="F227" i="5" s="1"/>
  <c r="E476" i="5"/>
  <c r="F476" i="5" s="1"/>
  <c r="E452" i="5"/>
  <c r="F452" i="5" s="1"/>
  <c r="E436" i="5"/>
  <c r="F436" i="5" s="1"/>
  <c r="E428" i="5"/>
  <c r="F428" i="5" s="1"/>
  <c r="E474" i="5"/>
  <c r="F474" i="5" s="1"/>
  <c r="E466" i="5"/>
  <c r="F466" i="5" s="1"/>
  <c r="E458" i="5"/>
  <c r="F458" i="5" s="1"/>
  <c r="E450" i="5"/>
  <c r="F450" i="5" s="1"/>
  <c r="E442" i="5"/>
  <c r="F442" i="5" s="1"/>
  <c r="E434" i="5"/>
  <c r="F434" i="5" s="1"/>
  <c r="E426" i="5"/>
  <c r="F426" i="5" s="1"/>
  <c r="E418" i="5"/>
  <c r="F418" i="5" s="1"/>
  <c r="E410" i="5"/>
  <c r="F410" i="5" s="1"/>
  <c r="E402" i="5"/>
  <c r="F402" i="5" s="1"/>
  <c r="E394" i="5"/>
  <c r="F394" i="5" s="1"/>
  <c r="E387" i="5"/>
  <c r="F387" i="5" s="1"/>
  <c r="C299" i="5"/>
  <c r="E299" i="5" s="1"/>
  <c r="F299" i="5" s="1"/>
  <c r="E297" i="5"/>
  <c r="F297" i="5" s="1"/>
  <c r="E281" i="5"/>
  <c r="F281" i="5" s="1"/>
  <c r="E279" i="5"/>
  <c r="F279" i="5" s="1"/>
  <c r="C277" i="5"/>
  <c r="E277" i="5" s="1"/>
  <c r="F277" i="5" s="1"/>
  <c r="C253" i="5"/>
  <c r="E253" i="5" s="1"/>
  <c r="F253" i="5" s="1"/>
  <c r="E383" i="5"/>
  <c r="F383" i="5" s="1"/>
  <c r="E379" i="5"/>
  <c r="F379" i="5" s="1"/>
  <c r="E375" i="5"/>
  <c r="F375" i="5" s="1"/>
  <c r="E371" i="5"/>
  <c r="F371" i="5" s="1"/>
  <c r="E367" i="5"/>
  <c r="F367" i="5" s="1"/>
  <c r="E363" i="5"/>
  <c r="F363" i="5" s="1"/>
  <c r="E359" i="5"/>
  <c r="F359" i="5" s="1"/>
  <c r="E355" i="5"/>
  <c r="F355" i="5" s="1"/>
  <c r="E351" i="5"/>
  <c r="F351" i="5" s="1"/>
  <c r="E347" i="5"/>
  <c r="F347" i="5" s="1"/>
  <c r="E343" i="5"/>
  <c r="F343" i="5" s="1"/>
  <c r="E339" i="5"/>
  <c r="F339" i="5" s="1"/>
  <c r="E335" i="5"/>
  <c r="F335" i="5" s="1"/>
  <c r="E331" i="5"/>
  <c r="F331" i="5" s="1"/>
  <c r="E327" i="5"/>
  <c r="F327" i="5" s="1"/>
  <c r="E323" i="5"/>
  <c r="F323" i="5" s="1"/>
  <c r="E319" i="5"/>
  <c r="F319" i="5" s="1"/>
  <c r="E315" i="5"/>
  <c r="F315" i="5" s="1"/>
  <c r="E311" i="5"/>
  <c r="F311" i="5" s="1"/>
  <c r="E307" i="5"/>
  <c r="F307" i="5" s="1"/>
  <c r="E303" i="5"/>
  <c r="F303" i="5" s="1"/>
  <c r="C301" i="5"/>
  <c r="E301" i="5" s="1"/>
  <c r="F301" i="5" s="1"/>
  <c r="E389" i="5"/>
  <c r="F389" i="5" s="1"/>
  <c r="C385" i="5"/>
  <c r="E385" i="5" s="1"/>
  <c r="F385" i="5" s="1"/>
  <c r="C381" i="5"/>
  <c r="E381" i="5" s="1"/>
  <c r="F381" i="5" s="1"/>
  <c r="C373" i="5"/>
  <c r="E373" i="5" s="1"/>
  <c r="F373" i="5" s="1"/>
  <c r="C365" i="5"/>
  <c r="E365" i="5" s="1"/>
  <c r="F365" i="5" s="1"/>
  <c r="C357" i="5"/>
  <c r="E357" i="5" s="1"/>
  <c r="F357" i="5" s="1"/>
  <c r="C349" i="5"/>
  <c r="E349" i="5" s="1"/>
  <c r="F349" i="5" s="1"/>
  <c r="C341" i="5"/>
  <c r="E341" i="5" s="1"/>
  <c r="F341" i="5" s="1"/>
  <c r="C333" i="5"/>
  <c r="E333" i="5" s="1"/>
  <c r="F333" i="5" s="1"/>
  <c r="C325" i="5"/>
  <c r="E325" i="5" s="1"/>
  <c r="F325" i="5" s="1"/>
  <c r="C317" i="5"/>
  <c r="E317" i="5" s="1"/>
  <c r="F317" i="5" s="1"/>
  <c r="C309" i="5"/>
  <c r="E309" i="5" s="1"/>
  <c r="F309" i="5" s="1"/>
  <c r="C283" i="5"/>
  <c r="E283" i="5" s="1"/>
  <c r="F283" i="5" s="1"/>
  <c r="C269" i="5"/>
  <c r="E269" i="5" s="1"/>
  <c r="F269" i="5" s="1"/>
  <c r="C261" i="5"/>
  <c r="E261" i="5" s="1"/>
  <c r="F261" i="5" s="1"/>
  <c r="C229" i="5"/>
  <c r="E229" i="5" s="1"/>
  <c r="F229" i="5" s="1"/>
  <c r="C259" i="5"/>
  <c r="E259" i="5" s="1"/>
  <c r="F259" i="5" s="1"/>
  <c r="C251" i="5"/>
  <c r="E251" i="5" s="1"/>
  <c r="F251" i="5" s="1"/>
  <c r="C243" i="5"/>
  <c r="E243" i="5" s="1"/>
  <c r="F243" i="5" s="1"/>
  <c r="C235" i="5"/>
  <c r="E235" i="5" s="1"/>
  <c r="F235" i="5" s="1"/>
  <c r="E211" i="5"/>
  <c r="F211" i="5" s="1"/>
  <c r="C207" i="5"/>
  <c r="E207" i="5" s="1"/>
  <c r="F207" i="5" s="1"/>
  <c r="E196" i="5"/>
  <c r="F196" i="5" s="1"/>
  <c r="E192" i="5"/>
  <c r="F192" i="5" s="1"/>
  <c r="E174" i="5"/>
  <c r="F174" i="5" s="1"/>
  <c r="E162" i="5"/>
  <c r="F162" i="5" s="1"/>
  <c r="E160" i="5"/>
  <c r="F160" i="5" s="1"/>
  <c r="C158" i="5"/>
  <c r="E158" i="5" s="1"/>
  <c r="F158" i="5" s="1"/>
  <c r="C144" i="5"/>
  <c r="E144" i="5" s="1"/>
  <c r="F144" i="5" s="1"/>
  <c r="C134" i="5"/>
  <c r="E134" i="5" s="1"/>
  <c r="F134" i="5" s="1"/>
  <c r="C124" i="5"/>
  <c r="E124" i="5" s="1"/>
  <c r="F124" i="5" s="1"/>
  <c r="E219" i="5"/>
  <c r="F219" i="5" s="1"/>
  <c r="E182" i="5"/>
  <c r="F182" i="5" s="1"/>
  <c r="C110" i="5"/>
  <c r="E110" i="5" s="1"/>
  <c r="F110" i="5" s="1"/>
  <c r="C78" i="5"/>
  <c r="E78" i="5" s="1"/>
  <c r="F78" i="5" s="1"/>
  <c r="C46" i="5"/>
  <c r="E46" i="5" s="1"/>
  <c r="F46" i="5" s="1"/>
  <c r="C14" i="5"/>
  <c r="E14" i="5" s="1"/>
  <c r="F14" i="5" s="1"/>
  <c r="E194" i="5"/>
  <c r="F194" i="5" s="1"/>
  <c r="E190" i="5"/>
  <c r="F190" i="5" s="1"/>
  <c r="E175" i="5"/>
  <c r="F175" i="5" s="1"/>
  <c r="E171" i="5"/>
  <c r="F171" i="5" s="1"/>
  <c r="C164" i="5"/>
  <c r="E164" i="5" s="1"/>
  <c r="F164" i="5" s="1"/>
  <c r="E155" i="5"/>
  <c r="F155" i="5" s="1"/>
  <c r="C148" i="5"/>
  <c r="E148" i="5" s="1"/>
  <c r="F148" i="5" s="1"/>
  <c r="C136" i="5"/>
  <c r="E136" i="5" s="1"/>
  <c r="F136" i="5" s="1"/>
  <c r="C126" i="5"/>
  <c r="E126" i="5" s="1"/>
  <c r="F126" i="5" s="1"/>
  <c r="E226" i="5"/>
  <c r="F226" i="5" s="1"/>
  <c r="E220" i="5"/>
  <c r="F220" i="5" s="1"/>
  <c r="E216" i="5"/>
  <c r="F216" i="5" s="1"/>
  <c r="E198" i="5"/>
  <c r="F198" i="5" s="1"/>
  <c r="E123" i="5"/>
  <c r="F123" i="5" s="1"/>
  <c r="C118" i="5"/>
  <c r="E118" i="5" s="1"/>
  <c r="F118" i="5" s="1"/>
  <c r="C86" i="5"/>
  <c r="E86" i="5" s="1"/>
  <c r="F86" i="5" s="1"/>
  <c r="C54" i="5"/>
  <c r="E54" i="5" s="1"/>
  <c r="F54" i="5" s="1"/>
  <c r="C22" i="5"/>
  <c r="E22" i="5" s="1"/>
  <c r="F22" i="5" s="1"/>
  <c r="E206" i="5"/>
  <c r="F206" i="5" s="1"/>
  <c r="E179" i="5"/>
  <c r="F179" i="5" s="1"/>
  <c r="E170" i="5"/>
  <c r="F170" i="5" s="1"/>
  <c r="E168" i="5"/>
  <c r="F168" i="5" s="1"/>
  <c r="C166" i="5"/>
  <c r="E166" i="5" s="1"/>
  <c r="F166" i="5" s="1"/>
  <c r="E154" i="5"/>
  <c r="F154" i="5" s="1"/>
  <c r="E152" i="5"/>
  <c r="F152" i="5" s="1"/>
  <c r="C150" i="5"/>
  <c r="E150" i="5" s="1"/>
  <c r="F150" i="5" s="1"/>
  <c r="C140" i="5"/>
  <c r="E140" i="5" s="1"/>
  <c r="F140" i="5" s="1"/>
  <c r="C128" i="5"/>
  <c r="E128" i="5" s="1"/>
  <c r="F128" i="5" s="1"/>
  <c r="E214" i="5"/>
  <c r="F214" i="5" s="1"/>
  <c r="E187" i="5"/>
  <c r="F187" i="5" s="1"/>
  <c r="C94" i="5"/>
  <c r="E94" i="5" s="1"/>
  <c r="F94" i="5" s="1"/>
  <c r="C62" i="5"/>
  <c r="E62" i="5" s="1"/>
  <c r="F62" i="5" s="1"/>
  <c r="C30" i="5"/>
  <c r="E30" i="5" s="1"/>
  <c r="F30" i="5" s="1"/>
  <c r="E195" i="5"/>
  <c r="F195" i="5" s="1"/>
  <c r="E178" i="5"/>
  <c r="F178" i="5" s="1"/>
  <c r="C172" i="5"/>
  <c r="E172" i="5" s="1"/>
  <c r="F172" i="5" s="1"/>
  <c r="E163" i="5"/>
  <c r="F163" i="5" s="1"/>
  <c r="C156" i="5"/>
  <c r="E156" i="5" s="1"/>
  <c r="F156" i="5" s="1"/>
  <c r="C142" i="5"/>
  <c r="E142" i="5" s="1"/>
  <c r="F142" i="5" s="1"/>
  <c r="C132" i="5"/>
  <c r="E132" i="5" s="1"/>
  <c r="F132" i="5" s="1"/>
  <c r="C116" i="5"/>
  <c r="E116" i="5" s="1"/>
  <c r="F116" i="5" s="1"/>
  <c r="C108" i="5"/>
  <c r="E108" i="5" s="1"/>
  <c r="F108" i="5" s="1"/>
  <c r="C100" i="5"/>
  <c r="E100" i="5" s="1"/>
  <c r="F100" i="5" s="1"/>
  <c r="C92" i="5"/>
  <c r="E92" i="5" s="1"/>
  <c r="F92" i="5" s="1"/>
  <c r="C84" i="5"/>
  <c r="E84" i="5" s="1"/>
  <c r="F84" i="5" s="1"/>
  <c r="C76" i="5"/>
  <c r="E76" i="5" s="1"/>
  <c r="F76" i="5" s="1"/>
  <c r="C68" i="5"/>
  <c r="E68" i="5" s="1"/>
  <c r="F68" i="5" s="1"/>
  <c r="C60" i="5"/>
  <c r="E60" i="5" s="1"/>
  <c r="F60" i="5" s="1"/>
  <c r="C52" i="5"/>
  <c r="E52" i="5" s="1"/>
  <c r="F52" i="5" s="1"/>
  <c r="C44" i="5"/>
  <c r="E44" i="5" s="1"/>
  <c r="F44" i="5" s="1"/>
  <c r="C36" i="5"/>
  <c r="E36" i="5" s="1"/>
  <c r="F36" i="5" s="1"/>
  <c r="C28" i="5"/>
  <c r="E28" i="5" s="1"/>
  <c r="F28" i="5" s="1"/>
  <c r="C20" i="5"/>
  <c r="E20" i="5" s="1"/>
  <c r="F20" i="5" s="1"/>
  <c r="C12" i="5"/>
  <c r="E12" i="5" s="1"/>
  <c r="F12" i="5" s="1"/>
  <c r="C4" i="5"/>
  <c r="E4" i="5" s="1"/>
  <c r="F4" i="5" s="1"/>
  <c r="E120" i="5"/>
  <c r="F120" i="5" s="1"/>
  <c r="E112" i="5"/>
  <c r="F112" i="5" s="1"/>
  <c r="E104" i="5"/>
  <c r="F104" i="5" s="1"/>
  <c r="E96" i="5"/>
  <c r="F96" i="5" s="1"/>
  <c r="E88" i="5"/>
  <c r="F88" i="5" s="1"/>
  <c r="E80" i="5"/>
  <c r="F80" i="5" s="1"/>
  <c r="E72" i="5"/>
  <c r="F72" i="5" s="1"/>
  <c r="E64" i="5"/>
  <c r="F64" i="5" s="1"/>
  <c r="E56" i="5"/>
  <c r="F56" i="5" s="1"/>
  <c r="E48" i="5"/>
  <c r="F48" i="5" s="1"/>
  <c r="E40" i="5"/>
  <c r="F40" i="5" s="1"/>
  <c r="E32" i="5"/>
  <c r="F32" i="5" s="1"/>
  <c r="E24" i="5"/>
  <c r="F24" i="5" s="1"/>
  <c r="E16" i="5"/>
  <c r="F16" i="5" s="1"/>
  <c r="E8" i="5"/>
  <c r="F8" i="5" s="1"/>
  <c r="J2" i="5"/>
  <c r="L2" i="5" s="1"/>
  <c r="M2" i="5" s="1"/>
  <c r="C2" i="5"/>
  <c r="O489" i="5"/>
  <c r="O90" i="5"/>
  <c r="O128" i="5"/>
  <c r="O223" i="5"/>
  <c r="O439" i="5"/>
  <c r="O378" i="5"/>
  <c r="O338" i="5"/>
  <c r="O246" i="5"/>
  <c r="N164" i="5"/>
  <c r="N50" i="5"/>
  <c r="N185" i="5"/>
  <c r="N224" i="5"/>
  <c r="N291" i="5"/>
  <c r="N134" i="5"/>
  <c r="N336" i="5"/>
  <c r="O342" i="5"/>
  <c r="O337" i="5"/>
  <c r="O149" i="5"/>
  <c r="O94" i="5"/>
  <c r="O472" i="5"/>
  <c r="O389" i="5"/>
  <c r="O197" i="5"/>
  <c r="O281" i="5"/>
  <c r="N449" i="5"/>
  <c r="N25" i="5"/>
  <c r="N202" i="5"/>
  <c r="N68" i="5"/>
  <c r="N311" i="5"/>
  <c r="N368" i="5"/>
  <c r="N493" i="5"/>
  <c r="N418" i="5"/>
  <c r="O173" i="5"/>
  <c r="O301" i="5"/>
  <c r="O251" i="5"/>
  <c r="O97" i="5"/>
  <c r="O292" i="5"/>
  <c r="O135" i="5"/>
  <c r="O55" i="5"/>
  <c r="N485" i="5"/>
  <c r="N428" i="5"/>
  <c r="N123" i="5"/>
  <c r="N19" i="5"/>
  <c r="N344" i="5"/>
  <c r="N390" i="5"/>
  <c r="N192" i="5"/>
  <c r="N335" i="5"/>
  <c r="O315" i="5"/>
  <c r="O355" i="5"/>
  <c r="O405" i="5"/>
  <c r="O242" i="5"/>
  <c r="O418" i="5"/>
  <c r="O471" i="5"/>
  <c r="O478" i="5"/>
  <c r="O63" i="5"/>
  <c r="N385" i="5"/>
  <c r="N382" i="5"/>
  <c r="N433" i="5"/>
  <c r="N333" i="5"/>
  <c r="N43" i="5"/>
  <c r="N339" i="5"/>
  <c r="N143" i="5"/>
  <c r="N77" i="5"/>
  <c r="O45" i="5"/>
  <c r="O329" i="5"/>
  <c r="O353" i="5"/>
  <c r="O332" i="5"/>
  <c r="O233" i="5"/>
  <c r="O140" i="5"/>
  <c r="O434" i="5"/>
  <c r="N135" i="5"/>
  <c r="N219" i="5"/>
  <c r="N187" i="5"/>
  <c r="N203" i="5"/>
  <c r="N403" i="5"/>
  <c r="N246" i="5"/>
  <c r="N96" i="5"/>
  <c r="N349" i="5"/>
  <c r="O484" i="5"/>
  <c r="O68" i="5"/>
  <c r="O162" i="5"/>
  <c r="O76" i="5"/>
  <c r="O307" i="5"/>
  <c r="O365" i="5"/>
  <c r="O279" i="5"/>
  <c r="O391" i="5"/>
  <c r="N251" i="5"/>
  <c r="N415" i="5"/>
  <c r="N425" i="5"/>
  <c r="N127" i="5"/>
  <c r="N233" i="5"/>
  <c r="N357" i="5"/>
  <c r="N386" i="5"/>
  <c r="O298" i="5"/>
  <c r="O123" i="5"/>
  <c r="O101" i="5"/>
  <c r="O403" i="5"/>
  <c r="O372" i="5"/>
  <c r="O179" i="5"/>
  <c r="O379" i="5"/>
  <c r="O116" i="5"/>
  <c r="N456" i="5"/>
  <c r="N172" i="5"/>
  <c r="N478" i="5"/>
  <c r="N315" i="5"/>
  <c r="N482" i="5"/>
  <c r="N51" i="5"/>
  <c r="N275" i="5"/>
  <c r="N44" i="5"/>
  <c r="O477" i="5"/>
  <c r="O234" i="5"/>
  <c r="O425" i="5"/>
  <c r="O37" i="5"/>
  <c r="O455" i="5"/>
  <c r="O392" i="5"/>
  <c r="O120" i="5"/>
  <c r="O347" i="5"/>
  <c r="N402" i="5"/>
  <c r="N431" i="5"/>
  <c r="N9" i="5"/>
  <c r="N193" i="5"/>
  <c r="N304" i="5"/>
  <c r="N452" i="5"/>
  <c r="N266" i="5"/>
  <c r="O357" i="5"/>
  <c r="O385" i="5"/>
  <c r="O346" i="5"/>
  <c r="O127" i="5"/>
  <c r="O474" i="5"/>
  <c r="O72" i="5"/>
  <c r="O354" i="5"/>
  <c r="O91" i="5"/>
  <c r="N16" i="5"/>
  <c r="N394" i="5"/>
  <c r="N360" i="5"/>
  <c r="N244" i="5"/>
  <c r="N182" i="5"/>
  <c r="N112" i="5"/>
  <c r="N490" i="5"/>
  <c r="O373" i="5"/>
  <c r="O268" i="5"/>
  <c r="O250" i="5"/>
  <c r="O229" i="5"/>
  <c r="O119" i="5"/>
  <c r="O273" i="5"/>
  <c r="O100" i="5"/>
  <c r="O189" i="5"/>
  <c r="N408" i="5"/>
  <c r="N147" i="5"/>
  <c r="N483" i="5"/>
  <c r="N301" i="5"/>
  <c r="N154" i="5"/>
  <c r="N480" i="5"/>
  <c r="N262" i="5"/>
  <c r="N106" i="5"/>
  <c r="O289" i="5"/>
  <c r="O78" i="5"/>
  <c r="O297" i="5"/>
  <c r="O34" i="5"/>
  <c r="O118" i="5"/>
  <c r="O449" i="5"/>
  <c r="O191" i="5"/>
  <c r="N133" i="5"/>
  <c r="N464" i="5"/>
  <c r="N247" i="5"/>
  <c r="N450" i="5"/>
  <c r="N369" i="5"/>
  <c r="N276" i="5"/>
  <c r="N438" i="5"/>
  <c r="N22" i="5"/>
  <c r="O401" i="5"/>
  <c r="O65" i="5"/>
  <c r="O73" i="5"/>
  <c r="O184" i="5"/>
  <c r="O316" i="5"/>
  <c r="O274" i="5"/>
  <c r="O320" i="5"/>
  <c r="O453" i="5"/>
  <c r="N214" i="5"/>
  <c r="N492" i="5"/>
  <c r="N81" i="5"/>
  <c r="N254" i="5"/>
  <c r="N74" i="5"/>
  <c r="N54" i="5"/>
  <c r="N479" i="5"/>
  <c r="O343" i="5"/>
  <c r="O207" i="5"/>
  <c r="O126" i="5"/>
  <c r="O209" i="5"/>
  <c r="O153" i="5"/>
  <c r="O141" i="5"/>
  <c r="O304" i="5"/>
  <c r="O114" i="5"/>
  <c r="N295" i="5"/>
  <c r="N277" i="5"/>
  <c r="N103" i="5"/>
  <c r="N379" i="5"/>
  <c r="N42" i="5"/>
  <c r="N364" i="5"/>
  <c r="N212" i="5"/>
  <c r="N195" i="5"/>
  <c r="O483" i="5"/>
  <c r="O312" i="5"/>
  <c r="O230" i="5"/>
  <c r="O224" i="5"/>
  <c r="O369" i="5"/>
  <c r="O447" i="5"/>
  <c r="O111" i="5"/>
  <c r="O248" i="5"/>
  <c r="N84" i="5"/>
  <c r="N362" i="5"/>
  <c r="N138" i="5"/>
  <c r="N145" i="5"/>
  <c r="N356" i="5"/>
  <c r="N30" i="5"/>
  <c r="N75" i="5"/>
  <c r="O270" i="5"/>
  <c r="O208" i="5"/>
  <c r="O327" i="5"/>
  <c r="O255" i="5"/>
  <c r="O423" i="5"/>
  <c r="O144" i="5"/>
  <c r="O231" i="5"/>
  <c r="O371" i="5"/>
  <c r="N340" i="5"/>
  <c r="N113" i="5"/>
  <c r="N453" i="5"/>
  <c r="N166" i="5"/>
  <c r="N299" i="5"/>
  <c r="N273" i="5"/>
  <c r="N419" i="5"/>
  <c r="N447" i="5"/>
  <c r="O412" i="5"/>
  <c r="O278" i="5"/>
  <c r="O193" i="5"/>
  <c r="O294" i="5"/>
  <c r="O44" i="5"/>
  <c r="O306" i="5"/>
  <c r="O367" i="5"/>
  <c r="O143" i="5"/>
  <c r="N110" i="5"/>
  <c r="N34" i="5"/>
  <c r="N71" i="5"/>
  <c r="N374" i="5"/>
  <c r="N59" i="5"/>
  <c r="N207" i="5"/>
  <c r="N189" i="5"/>
  <c r="O52" i="5"/>
  <c r="O71" i="5"/>
  <c r="O330" i="5"/>
  <c r="O166" i="5"/>
  <c r="O475" i="5"/>
  <c r="O23" i="5"/>
  <c r="O394" i="5"/>
  <c r="O387" i="5"/>
  <c r="O232" i="5"/>
  <c r="O324" i="5"/>
  <c r="N409" i="5"/>
  <c r="N321" i="5"/>
  <c r="N78" i="5"/>
  <c r="N406" i="5"/>
  <c r="N329" i="5"/>
  <c r="N209" i="5"/>
  <c r="N322" i="5"/>
  <c r="N281" i="5"/>
  <c r="O74" i="5"/>
  <c r="O33" i="5"/>
  <c r="O199" i="5"/>
  <c r="O27" i="5"/>
  <c r="O180" i="5"/>
  <c r="O359" i="5"/>
  <c r="O87" i="5"/>
  <c r="O336" i="5"/>
  <c r="N355" i="5"/>
  <c r="N215" i="5"/>
  <c r="N397" i="5"/>
  <c r="N305" i="5"/>
  <c r="N270" i="5"/>
  <c r="N297" i="5"/>
  <c r="N440" i="5"/>
  <c r="O32" i="5"/>
  <c r="O15" i="5"/>
  <c r="O11" i="5"/>
  <c r="O249" i="5"/>
  <c r="O406" i="5"/>
  <c r="O136" i="5"/>
  <c r="O221" i="5"/>
  <c r="O438" i="5"/>
  <c r="N489" i="5"/>
  <c r="N121" i="5"/>
  <c r="N424" i="5"/>
  <c r="N158" i="5"/>
  <c r="N444" i="5"/>
  <c r="N443" i="5"/>
  <c r="N65" i="5"/>
  <c r="N188" i="5"/>
  <c r="O102" i="5"/>
  <c r="O420" i="5"/>
  <c r="O386" i="5"/>
  <c r="O480" i="5"/>
  <c r="O430" i="5"/>
  <c r="O276" i="5"/>
  <c r="O348" i="5"/>
  <c r="N469" i="5"/>
  <c r="N176" i="5"/>
  <c r="N319" i="5"/>
  <c r="N308" i="5"/>
  <c r="N287" i="5"/>
  <c r="N69" i="5"/>
  <c r="N23" i="5"/>
  <c r="N293" i="5"/>
  <c r="O323" i="5"/>
  <c r="O461" i="5"/>
  <c r="O341" i="5"/>
  <c r="O113" i="5"/>
  <c r="O390" i="5"/>
  <c r="O326" i="5"/>
  <c r="O60" i="5"/>
  <c r="O272" i="5"/>
  <c r="N242" i="5"/>
  <c r="N17" i="5"/>
  <c r="N175" i="5"/>
  <c r="N148" i="5"/>
  <c r="N476" i="5"/>
  <c r="N186" i="5"/>
  <c r="N326" i="5"/>
  <c r="N139" i="5"/>
  <c r="O28" i="5"/>
  <c r="O374" i="5"/>
  <c r="O41" i="5"/>
  <c r="O318" i="5"/>
  <c r="O305" i="5"/>
  <c r="O29" i="5"/>
  <c r="O485" i="5"/>
  <c r="N18" i="5"/>
  <c r="N234" i="5"/>
  <c r="N317" i="5"/>
  <c r="N31" i="5"/>
  <c r="N249" i="5"/>
  <c r="N165" i="5"/>
  <c r="N372" i="5"/>
  <c r="N330" i="5"/>
  <c r="O130" i="5"/>
  <c r="O463" i="5"/>
  <c r="O181" i="5"/>
  <c r="O67" i="5"/>
  <c r="O202" i="5"/>
  <c r="O446" i="5"/>
  <c r="O43" i="5"/>
  <c r="O222" i="5"/>
  <c r="N90" i="5"/>
  <c r="N292" i="5"/>
  <c r="N389" i="5"/>
  <c r="N481" i="5"/>
  <c r="N14" i="5"/>
  <c r="N93" i="5"/>
  <c r="N358" i="5"/>
  <c r="N477" i="5"/>
  <c r="O309" i="5"/>
  <c r="O482" i="5"/>
  <c r="O8" i="5"/>
  <c r="O469" i="5"/>
  <c r="O495" i="5"/>
  <c r="O169" i="5"/>
  <c r="O103" i="5"/>
  <c r="O117" i="5"/>
  <c r="N80" i="5"/>
  <c r="N458" i="5"/>
  <c r="N465" i="5"/>
  <c r="N421" i="5"/>
  <c r="N327" i="5"/>
  <c r="N52" i="5"/>
  <c r="N109" i="5"/>
  <c r="N263" i="5"/>
  <c r="N468" i="5"/>
  <c r="N395" i="5"/>
  <c r="N124" i="5"/>
  <c r="O261" i="5"/>
  <c r="O17" i="5"/>
  <c r="O417" i="5"/>
  <c r="O334" i="5"/>
  <c r="O239" i="5"/>
  <c r="O398" i="5"/>
  <c r="O433" i="5"/>
  <c r="N429" i="5"/>
  <c r="N470" i="5"/>
  <c r="N72" i="5"/>
  <c r="N354" i="5"/>
  <c r="N350" i="5"/>
  <c r="N225" i="5"/>
  <c r="N260" i="5"/>
  <c r="N190" i="5"/>
  <c r="O470" i="5"/>
  <c r="O413" i="5"/>
  <c r="O161" i="5"/>
  <c r="O368" i="5"/>
  <c r="O331" i="5"/>
  <c r="O366" i="5"/>
  <c r="O172" i="5"/>
  <c r="O4" i="5"/>
  <c r="N198" i="5"/>
  <c r="N285" i="5"/>
  <c r="N393" i="5"/>
  <c r="N255" i="5"/>
  <c r="N341" i="5"/>
  <c r="N194" i="5"/>
  <c r="N318" i="5"/>
  <c r="O426" i="5"/>
  <c r="O200" i="5"/>
  <c r="O59" i="5"/>
  <c r="O157" i="5"/>
  <c r="O345" i="5"/>
  <c r="O288" i="5"/>
  <c r="O133" i="5"/>
  <c r="O217" i="5"/>
  <c r="N180" i="5"/>
  <c r="N461" i="5"/>
  <c r="N401" i="5"/>
  <c r="N4" i="5"/>
  <c r="N365" i="5"/>
  <c r="N334" i="5"/>
  <c r="N223" i="5"/>
  <c r="N229" i="5"/>
  <c r="O109" i="5"/>
  <c r="O351" i="5"/>
  <c r="O479" i="5"/>
  <c r="O493" i="5"/>
  <c r="O264" i="5"/>
  <c r="O363" i="5"/>
  <c r="O260" i="5"/>
  <c r="N280" i="5"/>
  <c r="N363" i="5"/>
  <c r="N168" i="5"/>
  <c r="N35" i="5"/>
  <c r="N205" i="5"/>
  <c r="N445" i="5"/>
  <c r="N220" i="5"/>
  <c r="N303" i="5"/>
  <c r="O428" i="5"/>
  <c r="O206" i="5"/>
  <c r="O245" i="5"/>
  <c r="O195" i="5"/>
  <c r="O168" i="5"/>
  <c r="O339" i="5"/>
  <c r="O171" i="5"/>
  <c r="O49" i="5"/>
  <c r="N302" i="5"/>
  <c r="N97" i="5"/>
  <c r="N439" i="5"/>
  <c r="N296" i="5"/>
  <c r="N211" i="5"/>
  <c r="N494" i="5"/>
  <c r="N181" i="5"/>
  <c r="N259" i="5"/>
  <c r="O147" i="5"/>
  <c r="O257" i="5"/>
  <c r="O382" i="5"/>
  <c r="O194" i="5"/>
  <c r="O225" i="5"/>
  <c r="O333" i="5"/>
  <c r="O259" i="5"/>
  <c r="N473" i="5"/>
  <c r="N206" i="5"/>
  <c r="N156" i="5"/>
  <c r="N392" i="5"/>
  <c r="N288" i="5"/>
  <c r="N271" i="5"/>
  <c r="N184" i="5"/>
  <c r="N261" i="5"/>
  <c r="O105" i="5"/>
  <c r="O421" i="5"/>
  <c r="O358" i="5"/>
  <c r="O187" i="5"/>
  <c r="O9" i="5"/>
  <c r="O24" i="5"/>
  <c r="O138" i="5"/>
  <c r="O35" i="5"/>
  <c r="N466" i="5"/>
  <c r="N222" i="5"/>
  <c r="N13" i="5"/>
  <c r="N462" i="5"/>
  <c r="N56" i="5"/>
  <c r="N338" i="5"/>
  <c r="N495" i="5"/>
  <c r="O2" i="5"/>
  <c r="O110" i="5"/>
  <c r="O269" i="5"/>
  <c r="O164" i="5"/>
  <c r="O458" i="5"/>
  <c r="O451" i="5"/>
  <c r="O310" i="5"/>
  <c r="O437" i="5"/>
  <c r="N95" i="5"/>
  <c r="N177" i="5"/>
  <c r="N160" i="5"/>
  <c r="N122" i="5"/>
  <c r="N114" i="5"/>
  <c r="N451" i="5"/>
  <c r="N66" i="5"/>
  <c r="N426" i="5"/>
  <c r="N39" i="5"/>
  <c r="N15" i="5"/>
  <c r="N61" i="5"/>
  <c r="N413" i="5"/>
  <c r="O170" i="5"/>
  <c r="O364" i="5"/>
  <c r="O139" i="5"/>
  <c r="O340" i="5"/>
  <c r="O476" i="5"/>
  <c r="O51" i="5"/>
  <c r="O277" i="5"/>
  <c r="O465" i="5"/>
  <c r="N377" i="5"/>
  <c r="N427" i="5"/>
  <c r="N241" i="5"/>
  <c r="N309" i="5"/>
  <c r="N298" i="5"/>
  <c r="N107" i="5"/>
  <c r="N171" i="5"/>
  <c r="N40" i="5"/>
  <c r="O349" i="5"/>
  <c r="O409" i="5"/>
  <c r="O212" i="5"/>
  <c r="O450" i="5"/>
  <c r="O213" i="5"/>
  <c r="O308" i="5"/>
  <c r="O84" i="5"/>
  <c r="N264" i="5"/>
  <c r="N472" i="5"/>
  <c r="N383" i="5"/>
  <c r="N208" i="5"/>
  <c r="N129" i="5"/>
  <c r="N179" i="5"/>
  <c r="N48" i="5"/>
  <c r="N432" i="5"/>
  <c r="O226" i="5"/>
  <c r="O238" i="5"/>
  <c r="O167" i="5"/>
  <c r="O241" i="5"/>
  <c r="O410" i="5"/>
  <c r="O22" i="5"/>
  <c r="O104" i="5"/>
  <c r="O125" i="5"/>
  <c r="N102" i="5"/>
  <c r="N361" i="5"/>
  <c r="N405" i="5"/>
  <c r="N140" i="5"/>
  <c r="N62" i="5"/>
  <c r="N6" i="5"/>
  <c r="N348" i="5"/>
  <c r="N378" i="5"/>
  <c r="O311" i="5"/>
  <c r="O158" i="5"/>
  <c r="O350" i="5"/>
  <c r="O352" i="5"/>
  <c r="O30" i="5"/>
  <c r="O296" i="5"/>
  <c r="O235" i="5"/>
  <c r="N457" i="5"/>
  <c r="N474" i="5"/>
  <c r="N85" i="5"/>
  <c r="N387" i="5"/>
  <c r="N82" i="5"/>
  <c r="N217" i="5"/>
  <c r="N49" i="5"/>
  <c r="N150" i="5"/>
  <c r="O408" i="5"/>
  <c r="O407" i="5"/>
  <c r="O146" i="5"/>
  <c r="O247" i="5"/>
  <c r="O25" i="5"/>
  <c r="O160" i="5"/>
  <c r="O448" i="5"/>
  <c r="O163" i="5"/>
  <c r="N370" i="5"/>
  <c r="N471" i="5"/>
  <c r="N232" i="5"/>
  <c r="N137" i="5"/>
  <c r="N60" i="5"/>
  <c r="N396" i="5"/>
  <c r="N258" i="5"/>
  <c r="O286" i="5"/>
  <c r="O85" i="5"/>
  <c r="O165" i="5"/>
  <c r="O467" i="5"/>
  <c r="O13" i="5"/>
  <c r="O77" i="5"/>
  <c r="O443" i="5"/>
  <c r="O360" i="5"/>
  <c r="N101" i="5"/>
  <c r="N174" i="5"/>
  <c r="N173" i="5"/>
  <c r="N347" i="5"/>
  <c r="N3" i="5"/>
  <c r="N228" i="5"/>
  <c r="N21" i="5"/>
  <c r="N108" i="5"/>
  <c r="O388" i="5"/>
  <c r="O402" i="5"/>
  <c r="O56" i="5"/>
  <c r="O39" i="5"/>
  <c r="O188" i="5"/>
  <c r="O95" i="5"/>
  <c r="O53" i="5"/>
  <c r="O244" i="5"/>
  <c r="N162" i="5"/>
  <c r="N250" i="5"/>
  <c r="N248" i="5"/>
  <c r="N475" i="5"/>
  <c r="N454" i="5"/>
  <c r="N269" i="5"/>
  <c r="N265" i="5"/>
  <c r="N268" i="5"/>
  <c r="O19" i="5"/>
  <c r="O121" i="5"/>
  <c r="O473" i="5"/>
  <c r="O445" i="5"/>
  <c r="O303" i="5"/>
  <c r="O468" i="5"/>
  <c r="O10" i="5"/>
  <c r="N12" i="5"/>
  <c r="O419" i="5"/>
  <c r="O204" i="5"/>
  <c r="O460" i="5"/>
  <c r="O267" i="5"/>
  <c r="O415" i="5"/>
  <c r="O14" i="5"/>
  <c r="O150" i="5"/>
  <c r="O96" i="5"/>
  <c r="O48" i="5"/>
  <c r="O86" i="5"/>
  <c r="O240" i="5"/>
  <c r="N157" i="5"/>
  <c r="N73" i="5"/>
  <c r="N463" i="5"/>
  <c r="N142" i="5"/>
  <c r="N343" i="5"/>
  <c r="N11" i="5"/>
  <c r="N411" i="5"/>
  <c r="N282" i="5"/>
  <c r="O211" i="5"/>
  <c r="O411" i="5"/>
  <c r="O381" i="5"/>
  <c r="O227" i="5"/>
  <c r="O325" i="5"/>
  <c r="O252" i="5"/>
  <c r="O148" i="5"/>
  <c r="N153" i="5"/>
  <c r="N488" i="5"/>
  <c r="N155" i="5"/>
  <c r="N183" i="5"/>
  <c r="N446" i="5"/>
  <c r="N200" i="5"/>
  <c r="N279" i="5"/>
  <c r="N367" i="5"/>
  <c r="O442" i="5"/>
  <c r="O26" i="5"/>
  <c r="O36" i="5"/>
  <c r="O302" i="5"/>
  <c r="O82" i="5"/>
  <c r="O132" i="5"/>
  <c r="O98" i="5"/>
  <c r="O88" i="5"/>
  <c r="N323" i="5"/>
  <c r="N83" i="5"/>
  <c r="N55" i="5"/>
  <c r="N245" i="5"/>
  <c r="N332" i="5"/>
  <c r="N371" i="5"/>
  <c r="N312" i="5"/>
  <c r="O258" i="5"/>
  <c r="O464" i="5"/>
  <c r="O377" i="5"/>
  <c r="O38" i="5"/>
  <c r="O462" i="5"/>
  <c r="O262" i="5"/>
  <c r="O201" i="5"/>
  <c r="O285" i="5"/>
  <c r="N398" i="5"/>
  <c r="N437" i="5"/>
  <c r="N331" i="5"/>
  <c r="N46" i="5"/>
  <c r="N346" i="5"/>
  <c r="N328" i="5"/>
  <c r="N53" i="5"/>
  <c r="N149" i="5"/>
  <c r="O58" i="5"/>
  <c r="O218" i="5"/>
  <c r="O183" i="5"/>
  <c r="O397" i="5"/>
  <c r="O466" i="5"/>
  <c r="O152" i="5"/>
  <c r="O321" i="5"/>
  <c r="O16" i="5"/>
  <c r="N325" i="5"/>
  <c r="N131" i="5"/>
  <c r="N7" i="5"/>
  <c r="N128" i="5"/>
  <c r="N274" i="5"/>
  <c r="N307" i="5"/>
  <c r="N384" i="5"/>
  <c r="O290" i="5"/>
  <c r="O186" i="5"/>
  <c r="O319" i="5"/>
  <c r="O5" i="5"/>
  <c r="O178" i="5"/>
  <c r="O322" i="5"/>
  <c r="O295" i="5"/>
  <c r="O435" i="5"/>
  <c r="N467" i="5"/>
  <c r="N272" i="5"/>
  <c r="N36" i="5"/>
  <c r="N118" i="5"/>
  <c r="N442" i="5"/>
  <c r="N388" i="5"/>
  <c r="O129" i="5"/>
  <c r="O80" i="5"/>
  <c r="O7" i="5"/>
  <c r="O459" i="5"/>
  <c r="O416" i="5"/>
  <c r="O491" i="5"/>
  <c r="O192" i="5"/>
  <c r="O54" i="5"/>
  <c r="N448" i="5"/>
  <c r="N423" i="5"/>
  <c r="N24" i="5"/>
  <c r="N391" i="5"/>
  <c r="N86" i="5"/>
  <c r="N115" i="5"/>
  <c r="N213" i="5"/>
  <c r="N37" i="5"/>
  <c r="O395" i="5"/>
  <c r="O263" i="5"/>
  <c r="O380" i="5"/>
  <c r="O266" i="5"/>
  <c r="O205" i="5"/>
  <c r="O494" i="5"/>
  <c r="O291" i="5"/>
  <c r="N256" i="5"/>
  <c r="N455" i="5"/>
  <c r="N8" i="5"/>
  <c r="N227" i="5"/>
  <c r="N119" i="5"/>
  <c r="N435" i="5"/>
  <c r="N130" i="5"/>
  <c r="N226" i="5"/>
  <c r="O441" i="5"/>
  <c r="O185" i="5"/>
  <c r="O328" i="5"/>
  <c r="O399" i="5"/>
  <c r="O236" i="5"/>
  <c r="O375" i="5"/>
  <c r="O361" i="5"/>
  <c r="O424" i="5"/>
  <c r="N170" i="5"/>
  <c r="N400" i="5"/>
  <c r="N290" i="5"/>
  <c r="N459" i="5"/>
  <c r="N178" i="5"/>
  <c r="N126" i="5"/>
  <c r="N79" i="5"/>
  <c r="O210" i="5"/>
  <c r="O488" i="5"/>
  <c r="O422" i="5"/>
  <c r="O93" i="5"/>
  <c r="O396" i="5"/>
  <c r="O220" i="5"/>
  <c r="O69" i="5"/>
  <c r="O198" i="5"/>
  <c r="N430" i="5"/>
  <c r="N252" i="5"/>
  <c r="N221" i="5"/>
  <c r="N64" i="5"/>
  <c r="N283" i="5"/>
  <c r="N99" i="5"/>
  <c r="N238" i="5"/>
  <c r="N100" i="5"/>
  <c r="O293" i="5"/>
  <c r="O429" i="5"/>
  <c r="O400" i="5"/>
  <c r="O18" i="5"/>
  <c r="O137" i="5"/>
  <c r="O283" i="5"/>
  <c r="O344" i="5"/>
  <c r="O404" i="5"/>
  <c r="N163" i="5"/>
  <c r="N484" i="5"/>
  <c r="N414" i="5"/>
  <c r="N286" i="5"/>
  <c r="N284" i="5"/>
  <c r="N152" i="5"/>
  <c r="N337" i="5"/>
  <c r="O243" i="5"/>
  <c r="O64" i="5"/>
  <c r="O145" i="5"/>
  <c r="O131" i="5"/>
  <c r="O154" i="5"/>
  <c r="O487" i="5"/>
  <c r="O107" i="5"/>
  <c r="O287" i="5"/>
  <c r="N5" i="5"/>
  <c r="N399" i="5"/>
  <c r="N314" i="5"/>
  <c r="N231" i="5"/>
  <c r="N144" i="5"/>
  <c r="N353" i="5"/>
  <c r="N151" i="5"/>
  <c r="N230" i="5"/>
  <c r="O271" i="5"/>
  <c r="O356" i="5"/>
  <c r="O370" i="5"/>
  <c r="O66" i="5"/>
  <c r="O317" i="5"/>
  <c r="O436" i="5"/>
  <c r="O254" i="5"/>
  <c r="N417" i="5"/>
  <c r="N407" i="5"/>
  <c r="N243" i="5"/>
  <c r="N366" i="5"/>
  <c r="N300" i="5"/>
  <c r="N161" i="5"/>
  <c r="N58" i="5"/>
  <c r="N436" i="5"/>
  <c r="O122" i="5"/>
  <c r="O151" i="5"/>
  <c r="O6" i="5"/>
  <c r="O46" i="5"/>
  <c r="O31" i="5"/>
  <c r="O314" i="5"/>
  <c r="O190" i="5"/>
  <c r="O253" i="5"/>
  <c r="N218" i="5"/>
  <c r="N441" i="5"/>
  <c r="N41" i="5"/>
  <c r="N94" i="5"/>
  <c r="N375" i="5"/>
  <c r="N201" i="5"/>
  <c r="N89" i="5"/>
  <c r="N491" i="5"/>
  <c r="O362" i="5"/>
  <c r="O12" i="5"/>
  <c r="O384" i="5"/>
  <c r="N111" i="5"/>
  <c r="O376" i="5"/>
  <c r="N313" i="5"/>
  <c r="O440" i="5"/>
  <c r="N117" i="5"/>
  <c r="O214" i="5"/>
  <c r="N197" i="5"/>
  <c r="O89" i="5"/>
  <c r="N404" i="5"/>
  <c r="O99" i="5"/>
  <c r="N486" i="5"/>
  <c r="O492" i="5"/>
  <c r="N345" i="5"/>
  <c r="N27" i="5"/>
  <c r="O256" i="5"/>
  <c r="O490" i="5"/>
  <c r="N373" i="5"/>
  <c r="N104" i="5"/>
  <c r="O282" i="5"/>
  <c r="N92" i="5"/>
  <c r="N460" i="5"/>
  <c r="N196" i="5"/>
  <c r="O182" i="5"/>
  <c r="N320" i="5"/>
  <c r="N289" i="5"/>
  <c r="O75" i="5"/>
  <c r="N29" i="5"/>
  <c r="N32" i="5"/>
  <c r="N235" i="5"/>
  <c r="O432" i="5"/>
  <c r="N63" i="5"/>
  <c r="O177" i="5"/>
  <c r="O155" i="5"/>
  <c r="O393" i="5"/>
  <c r="N434" i="5"/>
  <c r="O237" i="5"/>
  <c r="N28" i="5"/>
  <c r="O284" i="5"/>
  <c r="N70" i="5"/>
  <c r="O61" i="5"/>
  <c r="N410" i="5"/>
  <c r="N240" i="5"/>
  <c r="N306" i="5"/>
  <c r="O156" i="5"/>
  <c r="O3" i="5"/>
  <c r="N324" i="5"/>
  <c r="O215" i="5"/>
  <c r="O456" i="5"/>
  <c r="O203" i="5"/>
  <c r="N199" i="5"/>
  <c r="O159" i="5"/>
  <c r="N352" i="5"/>
  <c r="O486" i="5"/>
  <c r="N45" i="5"/>
  <c r="N239" i="5"/>
  <c r="O108" i="5"/>
  <c r="N191" i="5"/>
  <c r="O124" i="5"/>
  <c r="N487" i="5"/>
  <c r="O175" i="5"/>
  <c r="N376" i="5"/>
  <c r="O83" i="5"/>
  <c r="O134" i="5"/>
  <c r="N278" i="5"/>
  <c r="O216" i="5"/>
  <c r="O228" i="5"/>
  <c r="N159" i="5"/>
  <c r="N38" i="5"/>
  <c r="O427" i="5"/>
  <c r="N310" i="5"/>
  <c r="N10" i="5"/>
  <c r="O92" i="5"/>
  <c r="N47" i="5"/>
  <c r="O454" i="5"/>
  <c r="O444" i="5"/>
  <c r="O457" i="5"/>
  <c r="O176" i="5"/>
  <c r="N132" i="5"/>
  <c r="N420" i="5"/>
  <c r="N267" i="5"/>
  <c r="N359" i="5"/>
  <c r="O142" i="5"/>
  <c r="N169" i="5"/>
  <c r="N412" i="5"/>
  <c r="N88" i="5"/>
  <c r="N237" i="5"/>
  <c r="O431" i="5"/>
  <c r="O81" i="5"/>
  <c r="N141" i="5"/>
  <c r="O383" i="5"/>
  <c r="O79" i="5"/>
  <c r="N146" i="5"/>
  <c r="O265" i="5"/>
  <c r="N294" i="5"/>
  <c r="O300" i="5"/>
  <c r="N26" i="5"/>
  <c r="O414" i="5"/>
  <c r="N381" i="5"/>
  <c r="O47" i="5"/>
  <c r="N342" i="5"/>
  <c r="O70" i="5"/>
  <c r="N87" i="5"/>
  <c r="N204" i="5"/>
  <c r="O42" i="5"/>
  <c r="O21" i="5"/>
  <c r="N91" i="5"/>
  <c r="N136" i="5"/>
  <c r="N416" i="5"/>
  <c r="O112" i="5"/>
  <c r="O57" i="5"/>
  <c r="O40" i="5"/>
  <c r="O299" i="5"/>
  <c r="N167" i="5"/>
  <c r="N98" i="5"/>
  <c r="N105" i="5"/>
  <c r="N380" i="5"/>
  <c r="O452" i="5"/>
  <c r="O50" i="5"/>
  <c r="N116" i="5"/>
  <c r="O219" i="5"/>
  <c r="O335" i="5"/>
  <c r="N257" i="5"/>
  <c r="N67" i="5"/>
  <c r="N76" i="5"/>
  <c r="N216" i="5"/>
  <c r="O196" i="5"/>
  <c r="N253" i="5"/>
  <c r="O174" i="5"/>
  <c r="N236" i="5"/>
  <c r="O481" i="5"/>
  <c r="N351" i="5"/>
  <c r="O20" i="5"/>
  <c r="N125" i="5"/>
  <c r="O275" i="5"/>
  <c r="N210" i="5"/>
  <c r="O62" i="5"/>
  <c r="N316" i="5"/>
  <c r="O106" i="5"/>
  <c r="N20" i="5"/>
  <c r="O115" i="5"/>
  <c r="N422" i="5"/>
  <c r="N120" i="5"/>
  <c r="N33" i="5"/>
  <c r="O313" i="5"/>
  <c r="N57" i="5"/>
  <c r="O280" i="5"/>
  <c r="E2" i="5" l="1"/>
  <c r="F2" i="5" s="1"/>
  <c r="F7" i="1"/>
  <c r="F3" i="1"/>
  <c r="F4" i="1"/>
  <c r="N2" i="5"/>
  <c r="G2" i="5"/>
  <c r="F6" i="1"/>
</calcChain>
</file>

<file path=xl/sharedStrings.xml><?xml version="1.0" encoding="utf-8"?>
<sst xmlns="http://schemas.openxmlformats.org/spreadsheetml/2006/main" count="3003" uniqueCount="2988">
  <si>
    <t>Minutes</t>
  </si>
  <si>
    <t>Seconds</t>
  </si>
  <si>
    <t>Serial</t>
  </si>
  <si>
    <t>Joe Biden</t>
  </si>
  <si>
    <t>40   -2  3-35  .25368</t>
  </si>
  <si>
    <t>Decimal Degrees</t>
  </si>
  <si>
    <t xml:space="preserve">   85</t>
  </si>
  <si>
    <t>Formula</t>
  </si>
  <si>
    <t xml:space="preserve">   3  2.125 6523 </t>
  </si>
  <si>
    <t>1   2</t>
  </si>
  <si>
    <t>Degrees</t>
  </si>
  <si>
    <t>"" N,90° 21' 18.726"" E</t>
  </si>
  <si>
    <t>Longitude</t>
  </si>
  <si>
    <t>Latitude</t>
  </si>
  <si>
    <t>Latitude - Decimal Degrees</t>
  </si>
  <si>
    <t>Longitude - Decimal Degrees</t>
  </si>
  <si>
    <t>lllll23° 40' 13.104ccc</t>
  </si>
  <si>
    <t>CC N,90° 20' 8.192}}}</t>
  </si>
  <si>
    <t>UUU23° 40' 13.709ddddd</t>
  </si>
  <si>
    <t>h N,90° 20' 43.459{{</t>
  </si>
  <si>
    <t>WWWW23° 40' 14.313wwww</t>
  </si>
  <si>
    <t>TTT N,90° 21' 18.726ff</t>
  </si>
  <si>
    <t>f23° 40' 14.914PPPP</t>
  </si>
  <si>
    <t>m N,90° 21' 53.994sssss</t>
  </si>
  <si>
    <t>CCC23° 40' 15.513JJJJ</t>
  </si>
  <si>
    <t>|||| N,90° 22' 29.262X</t>
  </si>
  <si>
    <t>ooooo23° 40' 16.110{{{{</t>
  </si>
  <si>
    <t>ooooo N,90° 23' 4.530l</t>
  </si>
  <si>
    <t>vv23° 40' 16.705QQ</t>
  </si>
  <si>
    <t>^^^^^ N,90° 23' 39.798l</t>
  </si>
  <si>
    <t>\\\23° 40' 17.297````</t>
  </si>
  <si>
    <t>D N,90° 24' 15.067rrrrr</t>
  </si>
  <si>
    <t>L23° 40' 17.887zzzz</t>
  </si>
  <si>
    <t>€€€ N,90° 24' 50.336nnn</t>
  </si>
  <si>
    <t>WWWW23° 40' 18.475vvvvv</t>
  </si>
  <si>
    <t>\\\\ N,90° 25' 25.605yy</t>
  </si>
  <si>
    <t>]]]23° 40' 19.061AAA</t>
  </si>
  <si>
    <t>t N,90° 26' 0.875Z</t>
  </si>
  <si>
    <t>^^^^^23° 40' 19.644h</t>
  </si>
  <si>
    <t>qqqq N,90° 26' 36.145ww</t>
  </si>
  <si>
    <t>vvv23° 40' 20.226ppppp</t>
  </si>
  <si>
    <t>zzzz N,90° 27' 11.416MMM</t>
  </si>
  <si>
    <t>fff23° 40' 20.805YYYY</t>
  </si>
  <si>
    <t>WWWWW N,90° 27' 46.686qqqqq</t>
  </si>
  <si>
    <t>ooooo23° 40' 21.382O</t>
  </si>
  <si>
    <t>zz N,90° 28' 21.957ZZ</t>
  </si>
  <si>
    <t>]]23° 40' 21.956YYYY</t>
  </si>
  <si>
    <t>ppp N,90° 28' 57.228qqq</t>
  </si>
  <si>
    <t>____23° 40' 22.529^</t>
  </si>
  <si>
    <t>}} N,90° 29' 32.500|||||</t>
  </si>
  <si>
    <t>mmmm23° 40' 23.099uuu</t>
  </si>
  <si>
    <t>M N,90° 30' 7.772ww</t>
  </si>
  <si>
    <t>DDD23° 40' 23.667LLLL</t>
  </si>
  <si>
    <t>] N,90° 30' 43.044{{{{</t>
  </si>
  <si>
    <t>ooooo23° 40' 45.586G</t>
  </si>
  <si>
    <t>DDDD N,90° 20' 7.533YY</t>
  </si>
  <si>
    <t>UU23° 40' 46.192cc</t>
  </si>
  <si>
    <t>__ N,90° 20' 42.803ooooo</t>
  </si>
  <si>
    <t>S23° 40' 46.796vvv</t>
  </si>
  <si>
    <t>aaaa N,90° 21' 18.072pppp</t>
  </si>
  <si>
    <t>___23° 40' 47.397oooo</t>
  </si>
  <si>
    <t>ee N,90° 21' 53.342N</t>
  </si>
  <si>
    <t>{{{{{23° 40' 47.997____</t>
  </si>
  <si>
    <t>OO N,90° 22' 28.612SS</t>
  </si>
  <si>
    <t>u23° 40' 48.594AAAAA</t>
  </si>
  <si>
    <t>VVVVV N,90° 23' 3.883eeeee</t>
  </si>
  <si>
    <t>cc23° 40' 49.189`</t>
  </si>
  <si>
    <t>T N,90° 23' 39.154^</t>
  </si>
  <si>
    <t>{23° 40' 49.781i</t>
  </si>
  <si>
    <t>qqqqq N,90° 24' 14.425€€€€</t>
  </si>
  <si>
    <t>W23° 40' 50.372RRRRR</t>
  </si>
  <si>
    <t>ssss N,90° 24' 49.696V</t>
  </si>
  <si>
    <t>G23° 40' 50.960i</t>
  </si>
  <si>
    <t>KK N,90° 25' 24.968DD</t>
  </si>
  <si>
    <t>ssss23° 40' 51.546GGGG</t>
  </si>
  <si>
    <t>T N,90° 26' 0.240m</t>
  </si>
  <si>
    <t>ttt23° 40' 52.130JJ</t>
  </si>
  <si>
    <t>ww N,90° 26' 35.513~</t>
  </si>
  <si>
    <t>q23° 40' 52.711eee</t>
  </si>
  <si>
    <t>KKK N,90° 27' 10.786NNN</t>
  </si>
  <si>
    <t>^^23° 40' 53.290\\\\</t>
  </si>
  <si>
    <t>Q N,90° 27' 46.059m</t>
  </si>
  <si>
    <t>gg23° 40' 53.867mmmmm</t>
  </si>
  <si>
    <t>u N,90° 28' 21.332^^^^</t>
  </si>
  <si>
    <t>LLLL23° 40' 54.442VV</t>
  </si>
  <si>
    <t>PP N,90° 28' 56.606fffff</t>
  </si>
  <si>
    <t>bb23° 40' 55.015YYYYY</t>
  </si>
  <si>
    <t>dd N,90° 29' 31.880LLLL</t>
  </si>
  <si>
    <t>pppp23° 40' 55.585SSSSS</t>
  </si>
  <si>
    <t>ZZZZ N,90° 30' 7.154[[[</t>
  </si>
  <si>
    <t>ii23° 40' 56.153LL</t>
  </si>
  <si>
    <t>_ N,90° 30' 42.429EEEEE</t>
  </si>
  <si>
    <t>s23° 41' 18.068~</t>
  </si>
  <si>
    <t>~~~ N,90° 20' 6.874~~~</t>
  </si>
  <si>
    <t>aa23° 41' 18.674kk</t>
  </si>
  <si>
    <t>MMMM N,90° 20' 42.146XX</t>
  </si>
  <si>
    <t>S23° 41' 19.278JJJJJ</t>
  </si>
  <si>
    <t>QQ N,90° 21' 17.418mmmm</t>
  </si>
  <si>
    <t>b23° 41' 19.880]]]]]</t>
  </si>
  <si>
    <t>lll N,90° 21' 52.690F</t>
  </si>
  <si>
    <t>B23° 41' 20.480xxxxx</t>
  </si>
  <si>
    <t>ww N,90° 22' 27.963ff</t>
  </si>
  <si>
    <t>jjjj23° 41' 21.077SSS</t>
  </si>
  <si>
    <t>m N,90° 23' 3.235VVV</t>
  </si>
  <si>
    <t>€€€€23° 41' 21.672JJJJJ</t>
  </si>
  <si>
    <t>kkkk N,90° 23' 38.509kkkk</t>
  </si>
  <si>
    <t>ff23° 41' 22.265y</t>
  </si>
  <si>
    <t>JJJJ N,90° 24' 13.782ee</t>
  </si>
  <si>
    <t>HHHHH23° 41' 22.856^^^^^</t>
  </si>
  <si>
    <t>ll N,90° 24' 49.056RRRRR</t>
  </si>
  <si>
    <t>kkkkk23° 41' 23.444</t>
  </si>
  <si>
    <t>] N,90° 25' 24.331XXXX</t>
  </si>
  <si>
    <t>[[[[[23° 41' 24.031s</t>
  </si>
  <si>
    <t>JJJ N,90° 25' 59.605yyyyy</t>
  </si>
  <si>
    <t>AAA23° 41' 24.615j</t>
  </si>
  <si>
    <t>ZZZZZ N,90° 26' 34.880ss</t>
  </si>
  <si>
    <t>NNNN23° 41' 25.196VVVV</t>
  </si>
  <si>
    <t>qqq N,90° 27' 10.155OOOOO</t>
  </si>
  <si>
    <t>hhhh23° 41' 25.776AAAAA</t>
  </si>
  <si>
    <t>i N,90° 27' 45.431||</t>
  </si>
  <si>
    <t>GG23° 41' 26.353MMMMM</t>
  </si>
  <si>
    <t>` N,90° 28' 20.706C</t>
  </si>
  <si>
    <t>zz23° 41' 26.928BBBB</t>
  </si>
  <si>
    <t>ssss N,90° 28' 55.983NN</t>
  </si>
  <si>
    <t>ggggg23° 41' 27.501iiii</t>
  </si>
  <si>
    <t>l N,90° 29' 31.259e</t>
  </si>
  <si>
    <t>UUUU23° 41' 28.072BBBB</t>
  </si>
  <si>
    <t>N N,90° 30' 6.536~~~</t>
  </si>
  <si>
    <t>€€€€€23° 41' 28.640nn</t>
  </si>
  <si>
    <t>mmm N,90° 30' 41.813\\</t>
  </si>
  <si>
    <t>iii23° 41' 50.550TTTT</t>
  </si>
  <si>
    <t>k N,90° 20' 6.214\\\\</t>
  </si>
  <si>
    <t>J23° 41' 51.157mmm</t>
  </si>
  <si>
    <t>ee N,90° 20' 41.488~~~~~</t>
  </si>
  <si>
    <t>YYYY23° 41' 51.761JJJJ</t>
  </si>
  <si>
    <t>QQQQQ N,90° 21' 16.763WWW</t>
  </si>
  <si>
    <t>gg23° 41' 52.363rrr</t>
  </si>
  <si>
    <t>x N,90° 21' 52.037ZZ</t>
  </si>
  <si>
    <t>s23° 41' 52.963NNN</t>
  </si>
  <si>
    <t>JJ N,90° 22' 27.312</t>
  </si>
  <si>
    <t>bbbb23° 41' 53.561BBBB</t>
  </si>
  <si>
    <t>f N,90° 23' 2.588QQ</t>
  </si>
  <si>
    <t>vvvv23° 41' 54.156zzzzz</t>
  </si>
  <si>
    <t>^^ N,90° 23' 37.864yyyyy</t>
  </si>
  <si>
    <t>iiii23° 41' 54.749QQQQQ</t>
  </si>
  <si>
    <t>```` N,90° 24' 13.140y</t>
  </si>
  <si>
    <t>fffff23° 41' 55.340ww</t>
  </si>
  <si>
    <t>vvv N,90° 24' 48.416vvvv</t>
  </si>
  <si>
    <t>dd23° 41' 55.929</t>
  </si>
  <si>
    <t>{ N,90° 25' 23.693v</t>
  </si>
  <si>
    <t>WW23° 41' 56.515s</t>
  </si>
  <si>
    <t>ll N,90° 25' 58.970YY</t>
  </si>
  <si>
    <t>H23° 41' 57.100iiiii</t>
  </si>
  <si>
    <t>~~ N,90° 26' 34.247hh</t>
  </si>
  <si>
    <t>gggg23° 41' 57.682ss</t>
  </si>
  <si>
    <t>uu N,90° 27' 9.524HH</t>
  </si>
  <si>
    <t>SS23° 41' 58.261eeee</t>
  </si>
  <si>
    <t>JJJJJ N,90° 27' 44.802tt</t>
  </si>
  <si>
    <t>EEEE23° 41' 58.839ss</t>
  </si>
  <si>
    <t>h N,90° 28' 20.081\</t>
  </si>
  <si>
    <t>aaaaa23° 41' 59.414XXX</t>
  </si>
  <si>
    <t>mm N,90° 28' 55.359rrrr</t>
  </si>
  <si>
    <t>LLLL23° 41' 59.987vvv</t>
  </si>
  <si>
    <t>QQQ N,90° 29' 30.638III</t>
  </si>
  <si>
    <t>EE23° 42' 0.558H</t>
  </si>
  <si>
    <t>xxxx N,90° 30' 5.917fffff</t>
  </si>
  <si>
    <t>T23° 42' 1.127www</t>
  </si>
  <si>
    <t>hhh N,90° 30' 41.197HHH</t>
  </si>
  <si>
    <t>UU23° 42' 23.032lll</t>
  </si>
  <si>
    <t>^^ N,90° 20' 5.554t</t>
  </si>
  <si>
    <t>Q23° 42' 23.639CCCC</t>
  </si>
  <si>
    <t>^^ N,90° 20' 40.831WWWW</t>
  </si>
  <si>
    <t>xx23° 42' 24.244</t>
  </si>
  <si>
    <t>JJJJJ N,90° 21' 16.107gg</t>
  </si>
  <si>
    <t>aaaa23° 42' 24.846BBB</t>
  </si>
  <si>
    <t>gg N,90° 21' 51.385UUUUU</t>
  </si>
  <si>
    <t>kkkkk23° 42' 25.446____</t>
  </si>
  <si>
    <t>DDDD N,90° 22' 26.662yyyy</t>
  </si>
  <si>
    <t>q23° 42' 26.044q</t>
  </si>
  <si>
    <t>NN N,90° 23' 1.940^^^</t>
  </si>
  <si>
    <t>CCCC23° 42' 26.640kkk</t>
  </si>
  <si>
    <t>||| N,90° 23' 37.218xxxxx</t>
  </si>
  <si>
    <t>IIIII23° 42' 27.233qqqq</t>
  </si>
  <si>
    <t>{{ N,90° 24' 12.496mmm</t>
  </si>
  <si>
    <t>X23° 42' 27.824RRRR</t>
  </si>
  <si>
    <t>YYY N,90° 24' 47.775KK</t>
  </si>
  <si>
    <t>sssss23° 42' 28.413VVVV</t>
  </si>
  <si>
    <t>KKKK N,90° 25' 23.054]]]]]</t>
  </si>
  <si>
    <t>bbbb23° 42' 29.000JJ</t>
  </si>
  <si>
    <t>TTTTT N,90° 25' 58.334fffff</t>
  </si>
  <si>
    <t>tt23° 42' 29.585tt</t>
  </si>
  <si>
    <t>R N,90° 26' 33.613XXX</t>
  </si>
  <si>
    <t>JJJ23° 42' 30.167K</t>
  </si>
  <si>
    <t>HH N,90° 27' 8.893u</t>
  </si>
  <si>
    <t>h23° 42' 30.747rrrr</t>
  </si>
  <si>
    <t>N N,90° 27' 44.174SSSS</t>
  </si>
  <si>
    <t>VVVVV23° 42' 31.325O</t>
  </si>
  <si>
    <t>qqqq N,90° 28' 19.454{{{</t>
  </si>
  <si>
    <t>[[[[[23° 42' 31.900GGGG</t>
  </si>
  <si>
    <t>c N,90° 28' 54.735WWWW</t>
  </si>
  <si>
    <t>qqqq23° 42' 32.474nn</t>
  </si>
  <si>
    <t>Y N,90° 29' 30.017ccccc</t>
  </si>
  <si>
    <t>23° 42' 33.045||</t>
  </si>
  <si>
    <t>UUUUU N,90° 30' 5.298FFFF</t>
  </si>
  <si>
    <t>V23° 42' 33.614qqqq</t>
  </si>
  <si>
    <t>BBBB N,90° 30' 40.580p</t>
  </si>
  <si>
    <t>uuu23° 42' 55.515ZZ</t>
  </si>
  <si>
    <t>YYYYY N,90° 20' 4.894~~~~</t>
  </si>
  <si>
    <t>kk23° 42' 56.122|||||</t>
  </si>
  <si>
    <t>U N,90° 20' 40.173[[[[[</t>
  </si>
  <si>
    <t>jjjj23° 42' 56.726wwwww</t>
  </si>
  <si>
    <t>{{{{ N,90° 21' 15.452XX</t>
  </si>
  <si>
    <t>yy23° 42' 57.329q</t>
  </si>
  <si>
    <t>_____ N,90° 21' 50.732XX</t>
  </si>
  <si>
    <t>^^23° 42' 57.929MMM</t>
  </si>
  <si>
    <t>ee N,90° 22' 26.011a</t>
  </si>
  <si>
    <t>KKK23° 42' 58.528YYY</t>
  </si>
  <si>
    <t>ss N,90° 23' 1.292QQQQ</t>
  </si>
  <si>
    <t>DD23° 42' 59.123p</t>
  </si>
  <si>
    <t>W N,90° 23' 36.572PPP</t>
  </si>
  <si>
    <t>b23° 42' 59.717jjj</t>
  </si>
  <si>
    <t>e N,90° 24' 11.853N</t>
  </si>
  <si>
    <t>ZZZ23° 43' 0.309bbbbb</t>
  </si>
  <si>
    <t>ggg N,90° 24' 47.134{</t>
  </si>
  <si>
    <t>w23° 43' 0.898UUU</t>
  </si>
  <si>
    <t>Q N,90° 25' 22.416ee</t>
  </si>
  <si>
    <t>~~23° 43' 1.485g</t>
  </si>
  <si>
    <t>]]]] N,90° 25' 57.698hhhhh</t>
  </si>
  <si>
    <t>bbbb23° 43' 2.069ZZ</t>
  </si>
  <si>
    <t>cc N,90° 26' 32.980[[[[</t>
  </si>
  <si>
    <t>OO23° 43' 2.652eee</t>
  </si>
  <si>
    <t>I N,90° 27' 8.262E</t>
  </si>
  <si>
    <t>pppp23° 43' 3.232{{{</t>
  </si>
  <si>
    <t>{{{ N,90° 27' 43.545MMMM</t>
  </si>
  <si>
    <t>c23° 43' 3.810sssss</t>
  </si>
  <si>
    <t>aa N,90° 28' 18.828KK</t>
  </si>
  <si>
    <t>MMMM23° 43' 4.386ZZ</t>
  </si>
  <si>
    <t>TTTTT N,90° 28' 54.111RRRR</t>
  </si>
  <si>
    <t>p23° 43' 4.960€€</t>
  </si>
  <si>
    <t>dddd N,90° 29' 29.395EEEE</t>
  </si>
  <si>
    <t>a23° 43' 5.531a</t>
  </si>
  <si>
    <t>ppppp N,90° 30' 4.679rr</t>
  </si>
  <si>
    <t>{{23° 43' 6.100XX</t>
  </si>
  <si>
    <t>ppppp N,90° 30' 39.963KKK</t>
  </si>
  <si>
    <t>[[[23° 43' 27.997llll</t>
  </si>
  <si>
    <t>AAAAA N,90° 20' 4.233IIIII</t>
  </si>
  <si>
    <t>nnnn23° 43' 28.604E</t>
  </si>
  <si>
    <t>€€€ N,90° 20' 39.514CCC</t>
  </si>
  <si>
    <t>UUUU23° 43' 29.209vvv</t>
  </si>
  <si>
    <t>mm N,90° 21' 14.796DDDDD</t>
  </si>
  <si>
    <t>jjj23° 43' 29.812NN</t>
  </si>
  <si>
    <t>GGGG N,90° 21' 50.078Y</t>
  </si>
  <si>
    <t>hhh23° 43' 30.413WW</t>
  </si>
  <si>
    <t>[ N,90° 22' 25.360{{{{{</t>
  </si>
  <si>
    <t>]]]]23° 43' 31.011dd</t>
  </si>
  <si>
    <t>vvv N,90° 23' 0.643```</t>
  </si>
  <si>
    <t>ee23° 43' 31.607III</t>
  </si>
  <si>
    <t>E N,90° 23' 35.926kkk</t>
  </si>
  <si>
    <t>r23° 43' 32.201II</t>
  </si>
  <si>
    <t>W N,90° 24' 11.209A</t>
  </si>
  <si>
    <t>KKKKK23° 43' 32.793TTTTT</t>
  </si>
  <si>
    <t>€€€ N,90° 24' 46.493</t>
  </si>
  <si>
    <t>k23° 43' 33.382~~</t>
  </si>
  <si>
    <t>P N,90° 25' 21.777n</t>
  </si>
  <si>
    <t>XXX23° 43' 33.969LLL</t>
  </si>
  <si>
    <t>XXXXX N,90° 25' 57.061___</t>
  </si>
  <si>
    <t>tt23° 43' 34.554FF</t>
  </si>
  <si>
    <t>GGGG N,90° 26' 32.346qqq</t>
  </si>
  <si>
    <t>hh23° 43' 35.137____</t>
  </si>
  <si>
    <t>y N,90° 27' 7.631U</t>
  </si>
  <si>
    <t>dd23° 43' 35.718lllll</t>
  </si>
  <si>
    <t>kkk N,90° 27' 42.916bbb</t>
  </si>
  <si>
    <t>yyyyy23° 43' 36.296KK</t>
  </si>
  <si>
    <t>mmm N,90° 28' 18.201ZZZZZ</t>
  </si>
  <si>
    <t>_23° 43' 36.872v</t>
  </si>
  <si>
    <t>iiiii N,90° 28' 53.487€</t>
  </si>
  <si>
    <t>uuuu23° 43' 37.446wwww</t>
  </si>
  <si>
    <t>[[[ N,90° 29' 28.773~~~~</t>
  </si>
  <si>
    <t>m23° 43' 38.017nnnn</t>
  </si>
  <si>
    <t>I N,90° 30' 4.060u</t>
  </si>
  <si>
    <t>xxxxx23° 43' 38.587ddddd</t>
  </si>
  <si>
    <t>EEE N,90° 30' 39.346X</t>
  </si>
  <si>
    <t>ZZZZ23° 44' 0.479MMM</t>
  </si>
  <si>
    <t>O N,90° 20' 3.572[</t>
  </si>
  <si>
    <t>ZZZZ23° 44' 1.086aaaaa</t>
  </si>
  <si>
    <t>} N,90° 20' 38.856JJ</t>
  </si>
  <si>
    <t>SSS23° 44' 1.692qqqq</t>
  </si>
  <si>
    <t>{ N,90° 21' 14.140^^^^</t>
  </si>
  <si>
    <t>WWW23° 44' 2.295VVVVV</t>
  </si>
  <si>
    <t>___ N,90° 21' 49.424LLLL</t>
  </si>
  <si>
    <t>~~~~~23° 44' 2.896kkk</t>
  </si>
  <si>
    <t>XXX N,90° 22' 24.709</t>
  </si>
  <si>
    <t>||||23° 44' 3.494w</t>
  </si>
  <si>
    <t>ZZZ N,90° 23' 0.000____</t>
  </si>
  <si>
    <t>sssss23° 44' 4.091JJJ</t>
  </si>
  <si>
    <t>[[[ N,90° 23' 35.280</t>
  </si>
  <si>
    <t>nnnn23° 44' 4.685KKKK</t>
  </si>
  <si>
    <t>A N,90° 24' 10.565X</t>
  </si>
  <si>
    <t>CCCC23° 44' 5.277e</t>
  </si>
  <si>
    <t>````` N,90° 24' 45.851TTT</t>
  </si>
  <si>
    <t>\23° 44' 5.866NN</t>
  </si>
  <si>
    <t>d N,90° 25' 21.138^^^^</t>
  </si>
  <si>
    <t>^^23° 44' 6.454mmmm</t>
  </si>
  <si>
    <t>ddddd N,90° 25' 56.424____</t>
  </si>
  <si>
    <t>TT23° 44' 7.039MM</t>
  </si>
  <si>
    <t>qqq N,90° 26' 31.711iiii</t>
  </si>
  <si>
    <t>hhhh23° 44' 7.622€€</t>
  </si>
  <si>
    <t>I N,90° 27' 6.999tt</t>
  </si>
  <si>
    <t>A23° 44' 8.203OOO</t>
  </si>
  <si>
    <t>W N,90° 27' 42.286X</t>
  </si>
  <si>
    <t>qqqq23° 44' 8.781zzz</t>
  </si>
  <si>
    <t>uuu N,90° 28' 17.574MM</t>
  </si>
  <si>
    <t>vv23° 44' 9.358WW</t>
  </si>
  <si>
    <t>WWW N,90° 28' 52.862hhh</t>
  </si>
  <si>
    <t>DDDDD23° 44' 9.932{</t>
  </si>
  <si>
    <t> N,90° 29' 28.151</t>
  </si>
  <si>
    <t>OOOOO23° 44' 10.504|||||</t>
  </si>
  <si>
    <t>ii N,90° 30' 3.440}}}}</t>
  </si>
  <si>
    <t>ww23° 44' 11.073``</t>
  </si>
  <si>
    <t>wwww N,90° 30' 38.729RR</t>
  </si>
  <si>
    <t>UU23° 44' 32.961BBBB</t>
  </si>
  <si>
    <t>NN N,90° 20' 2.911g</t>
  </si>
  <si>
    <t>p23° 44' 33.569</t>
  </si>
  <si>
    <t>VVVV N,90° 20' 38.197KKKK</t>
  </si>
  <si>
    <t>KKKKK23° 44' 34.174z</t>
  </si>
  <si>
    <t>LLL N,90° 21' 13.483||||</t>
  </si>
  <si>
    <t>JJJJ23° 44' 34.777GGG</t>
  </si>
  <si>
    <t>X N,90° 21' 48.770KKKK</t>
  </si>
  <si>
    <t>MMM23° 44' 35.379uuuuu</t>
  </si>
  <si>
    <t>ZZZ N,90° 22' 24.057NNNN</t>
  </si>
  <si>
    <t>JJJ23° 44' 35.977ccccc</t>
  </si>
  <si>
    <t>d N,90° 22' 59.345€€€</t>
  </si>
  <si>
    <t>m23° 44' 36.574{</t>
  </si>
  <si>
    <t>R N,90° 23' 34.633OOOO</t>
  </si>
  <si>
    <t>ttt23° 44' 37.169BBBB</t>
  </si>
  <si>
    <t>[[[[ N,90° 24' 9.921m</t>
  </si>
  <si>
    <t>xxxx23° 44' 37.761~~~~</t>
  </si>
  <si>
    <t>vv N,90° 24' 45.209mm</t>
  </si>
  <si>
    <t>hhh23° 44' 38.351A</t>
  </si>
  <si>
    <t>k N,90° 25' 20.498^^</t>
  </si>
  <si>
    <t>OO23° 44' 38.938{{{{{</t>
  </si>
  <si>
    <t>^^^^^ N,90° 25' 55.787fff</t>
  </si>
  <si>
    <t>g23° 44' 39.524CC</t>
  </si>
  <si>
    <t>\\\ N,90° 26' 31.077KKKK</t>
  </si>
  <si>
    <t>GGGGG23° 44' 40.107qq</t>
  </si>
  <si>
    <t>ZZZ N,90° 27' 6.366KKK</t>
  </si>
  <si>
    <t>oooo23° 44' 40.688xxx</t>
  </si>
  <si>
    <t>ffff N,90° 27' 41.656NN</t>
  </si>
  <si>
    <t>{{{{{23° 44' 41.267FF</t>
  </si>
  <si>
    <t>A N,90° 28' 16.947lll</t>
  </si>
  <si>
    <t>nnnn23° 44' 41.844llll</t>
  </si>
  <si>
    <t>pp N,90° 28' 52.237cccc</t>
  </si>
  <si>
    <t>a23° 44' 42.418R</t>
  </si>
  <si>
    <t>H N,90° 29' 27.528KKKK</t>
  </si>
  <si>
    <t>fff23° 44' 42.990s</t>
  </si>
  <si>
    <t>KKKK N,90° 30' 2.820ff</t>
  </si>
  <si>
    <t>FFF23° 44' 43.560^^^</t>
  </si>
  <si>
    <t>B N,90° 30' 38.111{</t>
  </si>
  <si>
    <t>vvvvv23° 45' 5.443OO</t>
  </si>
  <si>
    <t>GG N,90° 20' 2.249\\\\\</t>
  </si>
  <si>
    <t>SS23° 45' 6.051QQQQQ</t>
  </si>
  <si>
    <t>pppp N,90° 20' 37.538g</t>
  </si>
  <si>
    <t>\23° 45' 6.657~~</t>
  </si>
  <si>
    <t>€€€€€ N,90° 21' 12.827FFFFF</t>
  </si>
  <si>
    <t>J23° 45' 7.260€€€€€</t>
  </si>
  <si>
    <t>]]]]] N,90° 21' 48.116zz</t>
  </si>
  <si>
    <t>}}}}23° 45' 7.862p</t>
  </si>
  <si>
    <t>]]] N,90° 22' 23.405ttttt</t>
  </si>
  <si>
    <t>sssss23° 45' 8.461UUUU</t>
  </si>
  <si>
    <t>HHH N,90° 22' 58.695FFF</t>
  </si>
  <si>
    <t>III23° 45' 9.058Z</t>
  </si>
  <si>
    <t>iiii N,90° 23' 33.986lll</t>
  </si>
  <si>
    <t>ddddd23° 45' 9.652x</t>
  </si>
  <si>
    <t>uuu N,90° 24' 9.276PPPPP</t>
  </si>
  <si>
    <t>nnn23° 45' 10.245RR</t>
  </si>
  <si>
    <t>A N,90° 24' 44.567qqq</t>
  </si>
  <si>
    <t>o23° 45' 10.835€€€</t>
  </si>
  <si>
    <t>\\ N,90° 25' 19.858SSS</t>
  </si>
  <si>
    <t>NNN23° 45' 11.423P</t>
  </si>
  <si>
    <t>rrrrr N,90° 25' 55.150ssss</t>
  </si>
  <si>
    <t>n23° 45' 12.009EEEEE</t>
  </si>
  <si>
    <t>eeeee N,90° 26' 30.442mmmm</t>
  </si>
  <si>
    <t>jj23° 45' 12.592^^^</t>
  </si>
  <si>
    <t>k N,90° 27' 5.734ccc</t>
  </si>
  <si>
    <t>fffff23° 45' 13.173[[</t>
  </si>
  <si>
    <t>TTTTT N,90° 27' 41.026___</t>
  </si>
  <si>
    <t>II23° 45' 13.752u</t>
  </si>
  <si>
    <t>OOOOO N,90° 28' 16.319ss</t>
  </si>
  <si>
    <t>WWW23° 45' 14.329ooooo</t>
  </si>
  <si>
    <t>BBBBB N,90° 28' 51.612zzzzz</t>
  </si>
  <si>
    <t>DDDD23° 45' 14.904zzz</t>
  </si>
  <si>
    <t>NNNN N,90° 29' 26.906NNNN</t>
  </si>
  <si>
    <t>OOOO23° 45' 15.476DDD</t>
  </si>
  <si>
    <t>{{ N,90° 30' 2.199}}}}}</t>
  </si>
  <si>
    <t>XXX23° 45' 16.046uu</t>
  </si>
  <si>
    <t>OOO N,90° 30' 37.493[[[[[</t>
  </si>
  <si>
    <t>ppppp23° 45' 37.925wwww</t>
  </si>
  <si>
    <t>wwwww N,90° 20' 1.587ww</t>
  </si>
  <si>
    <t>[23° 45' 38.533CC</t>
  </si>
  <si>
    <t>ll N,90° 20' 36.878g</t>
  </si>
  <si>
    <t>T23° 45' 39.139ZZ</t>
  </si>
  <si>
    <t>] N,90° 21' 12.169RRR</t>
  </si>
  <si>
    <t>rrrrr23° 45' 39.743UUU</t>
  </si>
  <si>
    <t>[[[[ N,90° 21' 47.461[</t>
  </si>
  <si>
    <t>E23° 45' 40.344LLLLL</t>
  </si>
  <si>
    <t>\\ N,90° 22' 22.753SSSSS</t>
  </si>
  <si>
    <t>BBBB23° 45' 40.944__</t>
  </si>
  <si>
    <t>\ N,90° 22' 58.046jjjjj</t>
  </si>
  <si>
    <t>F23° 45' 41.541~~~~</t>
  </si>
  <si>
    <t>` N,90° 23' 33.338jjj</t>
  </si>
  <si>
    <t>ww23° 45' 42.136tttt</t>
  </si>
  <si>
    <t>RRRR N,90° 24' 8.631TT</t>
  </si>
  <si>
    <t>a23° 45' 42.729CCCC</t>
  </si>
  <si>
    <t>HHH N,90° 24' 43.925mmmmm</t>
  </si>
  <si>
    <t>GGG23° 45' 43.319||||</t>
  </si>
  <si>
    <t>GGGG N,90° 25' 19.218OO</t>
  </si>
  <si>
    <t>TTT23° 45' 43.907pp</t>
  </si>
  <si>
    <t>CCC N,90° 25' 54.512KK</t>
  </si>
  <si>
    <t>NNNNN23° 45' 44.493BB</t>
  </si>
  <si>
    <t>LLLL N,90° 26' 29.806qqqq</t>
  </si>
  <si>
    <t>uuuuu23° 45' 45.077YYYYY</t>
  </si>
  <si>
    <t>kk N,90° 27' 5.101lll</t>
  </si>
  <si>
    <t>GGGG23° 45' 45.659||</t>
  </si>
  <si>
    <t>vv N,90° 27' 40.396^^^</t>
  </si>
  <si>
    <t>tttt23° 45' 46.238wwww</t>
  </si>
  <si>
    <t>n N,90° 28' 15.691ddddd</t>
  </si>
  <si>
    <t>TTTTT23° 45' 46.815OOO</t>
  </si>
  <si>
    <t>aaaaa N,90° 28' 50.987L</t>
  </si>
  <si>
    <t>]]]]23° 45' 47.390\\\\\</t>
  </si>
  <si>
    <t>GGGGG N,90° 29' 26.282JJJJ</t>
  </si>
  <si>
    <t>ii23° 45' 47.962a</t>
  </si>
  <si>
    <t>u N,90° 30' 1.579IIIII</t>
  </si>
  <si>
    <t>HHHH23° 45' 48.533PPPPP</t>
  </si>
  <si>
    <t>|||| N,90° 30' 36.875L</t>
  </si>
  <si>
    <t>j23° 46' 10.406EEE</t>
  </si>
  <si>
    <t>EE N,90° 20' 0.925kkk</t>
  </si>
  <si>
    <t>{{{{{23° 46' 11.015zz</t>
  </si>
  <si>
    <t>] N,90° 20' 36.218MMMM</t>
  </si>
  <si>
    <t>UUUU23° 46' 11.621GGGG</t>
  </si>
  <si>
    <t>RR N,90° 21' 11.512V</t>
  </si>
  <si>
    <t>D23° 46' 12.225qq</t>
  </si>
  <si>
    <t>DDD N,90° 21' 46.806rrrrr</t>
  </si>
  <si>
    <t>23° 46' 12.827ttt</t>
  </si>
  <si>
    <t>ZZ N,90° 22' 22.101eee</t>
  </si>
  <si>
    <t>LLLLL23° 46' 13.427bbbb</t>
  </si>
  <si>
    <t>Z N,90° 22' 57.395mmmm</t>
  </si>
  <si>
    <t>]]23° 46' 14.024llll</t>
  </si>
  <si>
    <t>_____ N,90° 23' 32.690zzz</t>
  </si>
  <si>
    <t>`23° 46' 14.620[[</t>
  </si>
  <si>
    <t>dddd N,90° 24' 7.986s</t>
  </si>
  <si>
    <t>ttttt23° 46' 15.213KK</t>
  </si>
  <si>
    <t>ddd N,90° 24' 43.282[[[[[</t>
  </si>
  <si>
    <t>jjjjj23° 46' 15.803mmmmm</t>
  </si>
  <si>
    <t>DDDD N,90° 25' 18.578II</t>
  </si>
  <si>
    <t>FFFFF23° 46' 16.392n</t>
  </si>
  <si>
    <t>MMMMM N,90° 25' 53.874AAAA</t>
  </si>
  <si>
    <t>VVVV23° 46' 16.978bbb</t>
  </si>
  <si>
    <t>uuu N,90° 26' 29.171}</t>
  </si>
  <si>
    <t>]23° 46' 17.562b</t>
  </si>
  <si>
    <t>ddd N,90° 27' 4.468KKK</t>
  </si>
  <si>
    <t>hhhhh23° 46' 18.144mm</t>
  </si>
  <si>
    <t>llll N,90° 27' 39.765ZZZ</t>
  </si>
  <si>
    <t>kkkk23° 46' 18.723|||</t>
  </si>
  <si>
    <t>eeeee N,90° 28' 15.063AA</t>
  </si>
  <si>
    <t>cccc23° 46' 19.301WWWWW</t>
  </si>
  <si>
    <t>yyyy N,90° 28' 50.361ccccc</t>
  </si>
  <si>
    <t>OO23° 46' 19.876UUUU</t>
  </si>
  <si>
    <t>FFF N,90° 29' 25.659€€€</t>
  </si>
  <si>
    <t>|||||23° 46' 20.448€€€</t>
  </si>
  <si>
    <t>p N,90° 30' 0.957LLLLL</t>
  </si>
  <si>
    <t>___23° 46' 21.019u</t>
  </si>
  <si>
    <t>X N,90° 30' 36.256uu</t>
  </si>
  <si>
    <t>I23° 46' 42.888UUU</t>
  </si>
  <si>
    <t>cccc N,90° 20' 0.262ZZZZ</t>
  </si>
  <si>
    <t>kkkkk23° 46' 43.497{{{{{</t>
  </si>
  <si>
    <t>BB N,90° 20' 35.558gg</t>
  </si>
  <si>
    <t>aaa23° 46' 44.104|||||</t>
  </si>
  <si>
    <t>ttt N,90° 21' 10.854bbb</t>
  </si>
  <si>
    <t>NN23° 46' 44.708H</t>
  </si>
  <si>
    <t>m N,90° 21' 46.151|||||</t>
  </si>
  <si>
    <t>EE23° 46' 45.310jjj</t>
  </si>
  <si>
    <t>sssss N,90° 22' 21.448F</t>
  </si>
  <si>
    <t>b23° 46' 45.910nnn</t>
  </si>
  <si>
    <t>ccccc N,90° 22' 56.745hhh</t>
  </si>
  <si>
    <t>cc23° 46' 46.508UUUUU</t>
  </si>
  <si>
    <t>EEEEE N,90° 23' 32.042€€€</t>
  </si>
  <si>
    <t>QQ23° 46' 47.103M</t>
  </si>
  <si>
    <t>nnnnn N,90° 24' 7.340K</t>
  </si>
  <si>
    <t>```23° 46' 47.696QQQQ</t>
  </si>
  <si>
    <t>ll N,90° 24' 42.638XXXX</t>
  </si>
  <si>
    <t>BB23° 46' 48.287€€€</t>
  </si>
  <si>
    <t>ZZZZ N,90° 25' 17.937x</t>
  </si>
  <si>
    <t>p23° 46' 48.876{{{{{</t>
  </si>
  <si>
    <t>[[ N,90° 25' 53.236d</t>
  </si>
  <si>
    <t>\\\\\23° 46' 49.463HHH</t>
  </si>
  <si>
    <t>____ N,90° 26' 28.535KKKK</t>
  </si>
  <si>
    <t>ssss23° 46' 50.047kk</t>
  </si>
  <si>
    <t>wwwww N,90° 27' 3.834ooo</t>
  </si>
  <si>
    <t>CCCC23° 46' 50.629j</t>
  </si>
  <si>
    <t>__ N,90° 27' 39.134^^</t>
  </si>
  <si>
    <t>__23° 46' 51.209Q</t>
  </si>
  <si>
    <t>zz N,90° 28' 14.434dd</t>
  </si>
  <si>
    <t>zzzz23° 46' 51.786J</t>
  </si>
  <si>
    <t>} N,90° 28' 49.734BBB</t>
  </si>
  <si>
    <t>}23° 46' 52.362bbb</t>
  </si>
  <si>
    <t>GG N,90° 29' 25.035~~~</t>
  </si>
  <si>
    <t>mmmmm23° 46' 52.935EEEE</t>
  </si>
  <si>
    <t>yy N,90° 30' 0.336QQQQ</t>
  </si>
  <si>
    <t>BBBBB23° 46' 53.505x</t>
  </si>
  <si>
    <t>yy N,90° 30' 35.637hhhh</t>
  </si>
  <si>
    <t>mmmmm23° 47' 15.370uuu</t>
  </si>
  <si>
    <t>OOO N,90° 19' 59.599FF</t>
  </si>
  <si>
    <t>V23° 47' 15.979```</t>
  </si>
  <si>
    <t>HHHH N,90° 20' 34.897ggg</t>
  </si>
  <si>
    <t>HHHHH23° 47' 16.586GGGG</t>
  </si>
  <si>
    <t>NNNNN N,90° 21' 10.196LLLL</t>
  </si>
  <si>
    <t>DDDDD23° 47' 17.191QQ</t>
  </si>
  <si>
    <t>____ N,90° 21' 45.495CCCCC</t>
  </si>
  <si>
    <t>ff23° 47' 17.793^^^</t>
  </si>
  <si>
    <t>II N,90° 22' 20.794</t>
  </si>
  <si>
    <t>hhhh23° 47' 18.393DDDDD</t>
  </si>
  <si>
    <t>MM N,90° 22' 56.094pp</t>
  </si>
  <si>
    <t>zzzz23° 47' 18.991uu</t>
  </si>
  <si>
    <t>vv N,90° 23' 31.394JJJJ</t>
  </si>
  <si>
    <t>dd23° 47' 19.587jjjj</t>
  </si>
  <si>
    <t> N,90° 24' 6.694qq</t>
  </si>
  <si>
    <t>oooo23° 47' 20.180pppp</t>
  </si>
  <si>
    <t>L N,90° 24' 41.995v</t>
  </si>
  <si>
    <t>PPP23° 47' 20.771ZZZ</t>
  </si>
  <si>
    <t>v N,90° 25' 17.296vvv</t>
  </si>
  <si>
    <t>{{23° 47' 21.360ttttt</t>
  </si>
  <si>
    <t>t N,90° 25' 52.597}}</t>
  </si>
  <si>
    <t>iii23° 47' 21.947UUU</t>
  </si>
  <si>
    <t>JJJJJ N,90° 26' 27.899b</t>
  </si>
  <si>
    <t>uuu23° 47' 22.532AA</t>
  </si>
  <si>
    <t>VVVVV N,90° 27' 3.200{{{</t>
  </si>
  <si>
    <t>bbbbb23° 47' 23.114___</t>
  </si>
  <si>
    <t>nnnn N,90° 27' 38.503h</t>
  </si>
  <si>
    <t>hhhh23° 47' 23.694aa</t>
  </si>
  <si>
    <t>vvvvv N,90° 28' 13.805i</t>
  </si>
  <si>
    <t>t23° 47' 24.272ttt</t>
  </si>
  <si>
    <t>sss N,90° 28' 49.108RRRR</t>
  </si>
  <si>
    <t>OOOO23° 47' 24.847aaaaa</t>
  </si>
  <si>
    <t>h N,90° 29' 24.411ppppp</t>
  </si>
  <si>
    <t>UUU23° 47' 25.421ssss</t>
  </si>
  <si>
    <t>GG N,90° 29' 59.714RRR</t>
  </si>
  <si>
    <t>23° 47' 25.992OOO</t>
  </si>
  <si>
    <t>lllll N,90° 30' 35.018WWWWW</t>
  </si>
  <si>
    <t>ggggg23° 47' 47.852x</t>
  </si>
  <si>
    <t>QQQQ N,90° 19' 58.936eee</t>
  </si>
  <si>
    <t>L23° 47' 48.461E</t>
  </si>
  <si>
    <t>mm N,90° 20' 34.237[[[</t>
  </si>
  <si>
    <t>mmmm23° 47' 49.068Z</t>
  </si>
  <si>
    <t>Z N,90° 21' 9.538ddd</t>
  </si>
  <si>
    <t>o23° 47' 49.673pp</t>
  </si>
  <si>
    <t>F N,90° 21' 44.839s</t>
  </si>
  <si>
    <t>vvv23° 47' 50.276ffff</t>
  </si>
  <si>
    <t>C N,90° 22' 20.141RR</t>
  </si>
  <si>
    <t>YYYYY23° 47' 50.876```</t>
  </si>
  <si>
    <t>xxx N,90° 22' 55.443z</t>
  </si>
  <si>
    <t>jj23° 47' 51.474vvvv</t>
  </si>
  <si>
    <t>FFF N,90° 23' 30.745VVVVV</t>
  </si>
  <si>
    <t>C23° 47' 52.070FFFF</t>
  </si>
  <si>
    <t>k N,90° 24' 6.048PPP</t>
  </si>
  <si>
    <t>yyy23° 47' 52.664MMM</t>
  </si>
  <si>
    <t>FFFF N,90° 24' 41.351H</t>
  </si>
  <si>
    <t>q23° 47' 53.256ttt</t>
  </si>
  <si>
    <t>GGGG N,90° 25' 16.654~~</t>
  </si>
  <si>
    <t>NNN23° 47' 53.845{{{{</t>
  </si>
  <si>
    <t>GG N,90° 25' 51.958bbbbb</t>
  </si>
  <si>
    <t>hhhh23° 47' 54.432y</t>
  </si>
  <si>
    <t>` N,90° 26' 27.262XX</t>
  </si>
  <si>
    <t>rrr23° 47' 55.016ss</t>
  </si>
  <si>
    <t>r N,90° 27' 2.566rr</t>
  </si>
  <si>
    <t>xxxx23° 47' 55.599lll</t>
  </si>
  <si>
    <t>ggg N,90° 27' 37.871``</t>
  </si>
  <si>
    <t>zzzz23° 47' 56.179YYYY</t>
  </si>
  <si>
    <t>WWWWW N,90° 28' 13.176{</t>
  </si>
  <si>
    <t>E23° 47' 56.757o</t>
  </si>
  <si>
    <t>sss N,90° 28' 48.481p</t>
  </si>
  <si>
    <t>III23° 47' 57.333}}</t>
  </si>
  <si>
    <t> N,90° 29' 23.787aaa</t>
  </si>
  <si>
    <t>KKKKK23° 47' 57.907</t>
  </si>
  <si>
    <t>^ N,90° 29' 59.093nnn</t>
  </si>
  <si>
    <t>JJ23° 47' 58.478nn</t>
  </si>
  <si>
    <t>O N,90° 30' 34.399~~~~~</t>
  </si>
  <si>
    <t>gg23° 48' 20.333OOO</t>
  </si>
  <si>
    <t>y N,90° 19' 58.272qqqq</t>
  </si>
  <si>
    <t>ll23° 48' 20.943TTTT</t>
  </si>
  <si>
    <t>]] N,90° 20' 33.575_</t>
  </si>
  <si>
    <t>JJ23° 48' 21.550€€€€</t>
  </si>
  <si>
    <t>ccccc N,90° 21' 8.879mmmmm</t>
  </si>
  <si>
    <t>WWWW23° 48' 22.156~~~</t>
  </si>
  <si>
    <t>ZZZZZ N,90° 21' 44.183E</t>
  </si>
  <si>
    <t>€€€23° 48' 22.759N</t>
  </si>
  <si>
    <t>NNNN N,90° 22' 19.487D</t>
  </si>
  <si>
    <t>y23° 48' 23.359rrr</t>
  </si>
  <si>
    <t>dd N,90° 22' 54.791SSSS</t>
  </si>
  <si>
    <t>PPPP23° 48' 23.958mm</t>
  </si>
  <si>
    <t>wwwww N,90° 23' 30.096VVV</t>
  </si>
  <si>
    <t>U23° 48' 24.554[[[[[</t>
  </si>
  <si>
    <t>{ N,90° 24' 5.401JJJJJ</t>
  </si>
  <si>
    <t>xx23° 48' 25.148bbb</t>
  </si>
  <si>
    <t>FFFF N,90° 24' 40.707vvv</t>
  </si>
  <si>
    <t>III23° 48' 25.740[[</t>
  </si>
  <si>
    <t>NNNN N,90° 25' 16.013hhh</t>
  </si>
  <si>
    <t>KKKK23° 48' 26.329Z</t>
  </si>
  <si>
    <t>UUUUU N,90° 25' 51.319```</t>
  </si>
  <si>
    <t>yyyy23° 48' 26.916ss</t>
  </si>
  <si>
    <t>I N,90° 26' 26.625</t>
  </si>
  <si>
    <t>oo23° 48' 27.501QQQ</t>
  </si>
  <si>
    <t>````` N,90° 27' 1.932yyyy</t>
  </si>
  <si>
    <t>mmmm23° 48' 28.084VVVVV</t>
  </si>
  <si>
    <t>VV N,90° 27' 37.239ZZZZZ</t>
  </si>
  <si>
    <t>ll23° 48' 28.664{{{</t>
  </si>
  <si>
    <t>|| N,90° 28' 12.546^^^^^</t>
  </si>
  <si>
    <t>AAAAA23° 48' 29.243</t>
  </si>
  <si>
    <t>GG N,90° 28' 47.854NNNNN</t>
  </si>
  <si>
    <t>W23° 48' 29.819w</t>
  </si>
  <si>
    <t>[ N,90° 29' 23.162NNN</t>
  </si>
  <si>
    <t>Z23° 48' 30.393EEE</t>
  </si>
  <si>
    <t>KKKK N,90° 29' 58.470ZZZ</t>
  </si>
  <si>
    <t>~23° 48' 30.964TT</t>
  </si>
  <si>
    <t>€ N,90° 30' 33.779mmmm</t>
  </si>
  <si>
    <t>xxxx23° 48' 52.815rrr</t>
  </si>
  <si>
    <t>ffff N,90° 19' 57.608kkkk</t>
  </si>
  <si>
    <t>nnnn23° 48' 53.425}}}</t>
  </si>
  <si>
    <t>xx N,90° 20' 32.914zzzzz</t>
  </si>
  <si>
    <t>S23° 48' 54.033EE</t>
  </si>
  <si>
    <t>ZZZZ N,90° 21' 8.220TTTT</t>
  </si>
  <si>
    <t>]]23° 48' 54.638lllll</t>
  </si>
  <si>
    <t>oooo N,90° 21' 43.526~~~</t>
  </si>
  <si>
    <t>ttt23° 48' 55.241JJ</t>
  </si>
  <si>
    <t>n N,90° 22' 18.833hhhh</t>
  </si>
  <si>
    <t>ff23° 48' 55.842[[[[</t>
  </si>
  <si>
    <t>dddd N,90° 22' 54.140vvvv</t>
  </si>
  <si>
    <t>BBB23° 48' 56.441</t>
  </si>
  <si>
    <t>B N,90° 23' 29.447nnnn</t>
  </si>
  <si>
    <t>KKKKK23° 48' 57.037ccc</t>
  </si>
  <si>
    <t>cccc N,90° 24' 4.754WWW</t>
  </si>
  <si>
    <t>23° 48' 57.631L</t>
  </si>
  <si>
    <t>eee N,90° 24' 40.062O</t>
  </si>
  <si>
    <t>jj23° 48' 58.223J</t>
  </si>
  <si>
    <t>ll N,90° 25' 15.371TTTT</t>
  </si>
  <si>
    <t>eeeee23° 48' 58.813PPP</t>
  </si>
  <si>
    <t>gg N,90° 25' 50.679A</t>
  </si>
  <si>
    <t>[23° 48' 59.401BB</t>
  </si>
  <si>
    <t>wwww N,90° 26' 25.988LLLL</t>
  </si>
  <si>
    <t>iiiii23° 48' 59.986fff</t>
  </si>
  <si>
    <t>€€€ N,90° 27' 1.297]]]</t>
  </si>
  <si>
    <t>bbb23° 49' 0.569</t>
  </si>
  <si>
    <t>zzzz N,90° 27' 36.607UUUUU</t>
  </si>
  <si>
    <t>E23° 49' 1.150yyyy</t>
  </si>
  <si>
    <t>l N,90° 28' 11.916}}}</t>
  </si>
  <si>
    <t>RRRRR23° 49' 1.728PPPPP</t>
  </si>
  <si>
    <t>M N,90° 28' 47.226BBBB</t>
  </si>
  <si>
    <t>ZZZZ23° 49' 2.304D</t>
  </si>
  <si>
    <t>``` N,90° 29' 22.537kkkk</t>
  </si>
  <si>
    <t>CCCCC23° 49' 2.879n</t>
  </si>
  <si>
    <t>vvvv N,90° 29' 57.848|||</t>
  </si>
  <si>
    <t>€€23° 49' 3.450pp</t>
  </si>
  <si>
    <t>EEEEE N,90° 30' 33.159SSSS</t>
  </si>
  <si>
    <t>`````23° 49' 25.297[[</t>
  </si>
  <si>
    <t>\\\\ N,90° 19' 56.944CCCCC</t>
  </si>
  <si>
    <t>H23° 49' 25.907aa</t>
  </si>
  <si>
    <t>y N,90° 20' 32.252qq</t>
  </si>
  <si>
    <t>ff23° 49' 26.515OOO</t>
  </si>
  <si>
    <t>N N,90° 21' 7.560X</t>
  </si>
  <si>
    <t>PPPPP23° 49' 27.120bbbbb</t>
  </si>
  <si>
    <t>T N,90° 21' 42.869YY</t>
  </si>
  <si>
    <t>YYYY23° 49' 27.724\\\\\</t>
  </si>
  <si>
    <t>yyy N,90° 22' 18.178I</t>
  </si>
  <si>
    <t>hhh23° 49' 28.325</t>
  </si>
  <si>
    <t>hhhh N,90° 22' 53.487ooooo</t>
  </si>
  <si>
    <t>[23° 49' 28.924m</t>
  </si>
  <si>
    <t>bb N,90° 23' 28.797L</t>
  </si>
  <si>
    <t>JJ23° 49' 29.521}}}}</t>
  </si>
  <si>
    <t>tttt N,90° 24' 4.107GGG</t>
  </si>
  <si>
    <t>Q23° 49' 30.115uuuuu</t>
  </si>
  <si>
    <t>ppp N,90° 24' 39.417RRRRR</t>
  </si>
  <si>
    <t>|||23° 49' 30.707PP</t>
  </si>
  <si>
    <t>ggggg N,90° 25' 14.728]]]</t>
  </si>
  <si>
    <t>€€€€€23° 49' 31.297kkkk</t>
  </si>
  <si>
    <t>SSSS N,90° 25' 50.039[[[[</t>
  </si>
  <si>
    <t>}}}}23° 49' 31.885[[[[[</t>
  </si>
  <si>
    <t>^^^^^ N,90° 26' 25.350iiiii</t>
  </si>
  <si>
    <t>~23° 49' 32.471XXX</t>
  </si>
  <si>
    <t>ddd N,90° 27' 0.662YYYY</t>
  </si>
  <si>
    <t>€€€23° 49' 33.054z</t>
  </si>
  <si>
    <t>^^^^ N,90° 27' 35.974mmmmm</t>
  </si>
  <si>
    <t>I23° 49' 33.635BBBB</t>
  </si>
  <si>
    <t>i N,90° 28' 11.286d</t>
  </si>
  <si>
    <t>c23° 49' 34.214p</t>
  </si>
  <si>
    <t>FFFF N,90° 28' 46.599||||</t>
  </si>
  <si>
    <t>HH23° 49' 34.790AAAA</t>
  </si>
  <si>
    <t>{ N,90° 29' 21.912o</t>
  </si>
  <si>
    <t>]]]]]23° 49' 35.364_____</t>
  </si>
  <si>
    <t>ZZ N,90° 29' 57.225SSSSS</t>
  </si>
  <si>
    <t>lll23° 49' 35.936g</t>
  </si>
  <si>
    <t>L N,90° 30' 32.538cc</t>
  </si>
  <si>
    <t>ccc23° 49' 57.778rrrr</t>
  </si>
  <si>
    <t>QQQ N,90° 19' 56.279WWWWW</t>
  </si>
  <si>
    <t>i23° 49' 58.389CC</t>
  </si>
  <si>
    <t>xxxx N,90° 20' 31.590aaa</t>
  </si>
  <si>
    <t>dd23° 49' 58.997ss</t>
  </si>
  <si>
    <t>ooooo N,90° 21' 6.901ppp</t>
  </si>
  <si>
    <t>ooooo23° 49' 59.603bbb</t>
  </si>
  <si>
    <t>oo N,90° 21' 42.212JJJJ</t>
  </si>
  <si>
    <t>OOOO23° 50' 0.206oo</t>
  </si>
  <si>
    <t>mm N,90° 22' 17.523aaaaa</t>
  </si>
  <si>
    <t>ZZZ23° 50' 0.808zz</t>
  </si>
  <si>
    <t>FF N,90° 22' 52.835____</t>
  </si>
  <si>
    <t>IIIII23° 50' 1.407KKK</t>
  </si>
  <si>
    <t>]]]]] N,90° 23' 28.147LLLLL</t>
  </si>
  <si>
    <t>M23° 50' 2.004q</t>
  </si>
  <si>
    <t>IIIII N,90° 24' 3.460OOOOO</t>
  </si>
  <si>
    <t>}}}}23° 50' 2.599TTTT</t>
  </si>
  <si>
    <t>CCCC N,90° 24' 38.772BB</t>
  </si>
  <si>
    <t>fffff23° 50' 3.191BBBB</t>
  </si>
  <si>
    <t>\\\\ N,90° 25' 14.085AAA</t>
  </si>
  <si>
    <t>D23° 50' 3.781PP</t>
  </si>
  <si>
    <t>L N,90° 25' 49.399W</t>
  </si>
  <si>
    <t>qqqqq23° 50' 4.369KKKKK</t>
  </si>
  <si>
    <t>~~ N,90° 26' 24.713RRRRR</t>
  </si>
  <si>
    <t>gggg23° 50' 4.955</t>
  </si>
  <si>
    <t>FFFFF N,90° 27' 0.027`````</t>
  </si>
  <si>
    <t>eeeee23° 50' 5.539fff</t>
  </si>
  <si>
    <t>UUUUU N,90° 27' 35.341rrr</t>
  </si>
  <si>
    <t>N23° 50' 6.120qqqqq</t>
  </si>
  <si>
    <t>nn N,90° 28' 10.656E</t>
  </si>
  <si>
    <t>____23° 50' 6.699kk</t>
  </si>
  <si>
    <t>hhhh N,90° 28' 45.971ddd</t>
  </si>
  <si>
    <t>BBBB23° 50' 7.276nnnnn</t>
  </si>
  <si>
    <t>PPPPP N,90° 29' 21.286bbb</t>
  </si>
  <si>
    <t>y23° 50' 7.850iii</t>
  </si>
  <si>
    <t>yyyyy N,90° 29' 56.602{{</t>
  </si>
  <si>
    <t>```23° 50' 8.422XXXXX</t>
  </si>
  <si>
    <t>JJJ N,90° 30' 31.917K</t>
  </si>
  <si>
    <t>ww23° 50' 30.260VVVVV</t>
  </si>
  <si>
    <t>BBB N,90° 19' 55.614{{{</t>
  </si>
  <si>
    <t>Z23° 50' 30.870a</t>
  </si>
  <si>
    <t>KK N,90° 20' 30.927VVV</t>
  </si>
  <si>
    <t>jjjjj23° 50' 31.479ooooo</t>
  </si>
  <si>
    <t>bb N,90° 21' 6.240{{{{</t>
  </si>
  <si>
    <t>VVV23° 50' 32.085|</t>
  </si>
  <si>
    <t>ccccc N,90° 21' 41.554ZZ</t>
  </si>
  <si>
    <t>o23° 50' 32.689RRRRR</t>
  </si>
  <si>
    <t>UUUU N,90° 22' 16.868qqqqq</t>
  </si>
  <si>
    <t>yyyyy23° 50' 33.291vv</t>
  </si>
  <si>
    <t>ff N,90° 22' 52.182B</t>
  </si>
  <si>
    <t>pppp23° 50' 33.890€€</t>
  </si>
  <si>
    <t>o N,90° 23' 27.497EEEEE</t>
  </si>
  <si>
    <t>iii23° 50' 34.487aa</t>
  </si>
  <si>
    <t>{ N,90° 24' 2.812D</t>
  </si>
  <si>
    <t>PPPPP23° 50' 35.082jjjjj</t>
  </si>
  <si>
    <t>A N,90° 24' 38.127sss</t>
  </si>
  <si>
    <t>AAA23° 50' 35.675VVVVV</t>
  </si>
  <si>
    <t>] N,90° 25' 13.442xx</t>
  </si>
  <si>
    <t>WWWW23° 50' 36.266€€€€€</t>
  </si>
  <si>
    <t>qq N,90° 25' 48.758k</t>
  </si>
  <si>
    <t>23° 50' 36.854IIIII</t>
  </si>
  <si>
    <t>gggg N,90° 26' 24.074kk</t>
  </si>
  <si>
    <t>sss23° 50' 37.440NN</t>
  </si>
  <si>
    <t>]] N,90° 26' 59.391VV</t>
  </si>
  <si>
    <t>oooo23° 50' 38.023a</t>
  </si>
  <si>
    <t>xxxx N,90° 27' 34.708nn</t>
  </si>
  <si>
    <t>xxx23° 50' 38.605\\</t>
  </si>
  <si>
    <t>R N,90° 28' 10.025EEEEE</t>
  </si>
  <si>
    <t>ZZ23° 50' 39.184SSSSS</t>
  </si>
  <si>
    <t>] N,90° 28' 45.342^^^^^</t>
  </si>
  <si>
    <t>]23° 50' 39.761YYYYY</t>
  </si>
  <si>
    <t>V N,90° 29' 20.660{{{{</t>
  </si>
  <si>
    <t>gggg23° 50' 40.336YY</t>
  </si>
  <si>
    <t>Q N,90° 29' 55.978UUUU</t>
  </si>
  <si>
    <t>23° 50' 40.909DDDDD</t>
  </si>
  <si>
    <t>_____ N,90° 30' 31.296DD</t>
  </si>
  <si>
    <t>ZZZZZ23° 51' 2.741c</t>
  </si>
  <si>
    <t>EEEEE N,90° 19' 54.949ff</t>
  </si>
  <si>
    <t>d23° 51' 3.352H</t>
  </si>
  <si>
    <t>lllll N,90° 20' 30.264VV</t>
  </si>
  <si>
    <t>]23° 51' 3.961{{</t>
  </si>
  <si>
    <t>uu N,90° 21' 5.580}</t>
  </si>
  <si>
    <t>}}}23° 51' 4.567mm</t>
  </si>
  <si>
    <t>[ N,90° 21' 40.896\\\\\</t>
  </si>
  <si>
    <t>JJ23° 51' 5.171U</t>
  </si>
  <si>
    <t>IIIII N,90° 22' 16.212}}</t>
  </si>
  <si>
    <t>SS23° 51' 5.773R</t>
  </si>
  <si>
    <t>mmmm N,90° 22' 51.529CCCCC</t>
  </si>
  <si>
    <t>UUU23° 51' 6.373n</t>
  </si>
  <si>
    <t>DD N,90° 23' 26.846[[[</t>
  </si>
  <si>
    <t>KKK23° 51' 6.971VVVV</t>
  </si>
  <si>
    <t>fffff N,90° 24' 2.163HHH</t>
  </si>
  <si>
    <t>{{{23° 51' 7.566e</t>
  </si>
  <si>
    <t>rr N,90° 24' 37.481ppp</t>
  </si>
  <si>
    <t>RRRR23° 51' 8.159jjjjj</t>
  </si>
  <si>
    <t>GGGG N,90° 25' 12.799]]]]</t>
  </si>
  <si>
    <t>ZZ23° 51' 8.750WWWWW</t>
  </si>
  <si>
    <t>eeeee N,90° 25' 48.117nnnn</t>
  </si>
  <si>
    <t>M23° 51' 9.338SS</t>
  </si>
  <si>
    <t>t N,90° 26' 23.436FFF</t>
  </si>
  <si>
    <t>llll23° 51' 9.924DDDDD</t>
  </si>
  <si>
    <t>zzzz N,90° 26' 58.755DD</t>
  </si>
  <si>
    <t>\\\23° 51' 10.508sss</t>
  </si>
  <si>
    <t>www N,90° 27' 34.074xx</t>
  </si>
  <si>
    <t>C23° 51' 11.090kk</t>
  </si>
  <si>
    <t>qq N,90° 28' 9.394FF</t>
  </si>
  <si>
    <t>kkkkk23° 51' 11.669[[[</t>
  </si>
  <si>
    <t>YY N,90° 28' 44.714|||</t>
  </si>
  <si>
    <t>|23° 51' 12.247\</t>
  </si>
  <si>
    <t>rrr N,90° 29' 20.034[[[</t>
  </si>
  <si>
    <t>ddddd23° 51' 12.822pppp</t>
  </si>
  <si>
    <t>aaaaa N,90° 29' 55.354CCC</t>
  </si>
  <si>
    <t>f23° 51' 13.395iii</t>
  </si>
  <si>
    <t>mmmmm N,90° 30' 30.675VV</t>
  </si>
  <si>
    <t>uu23° 51' 35.223W</t>
  </si>
  <si>
    <t>AAAAA N,90° 19' 54.283MMMM</t>
  </si>
  <si>
    <t>HHHHH23° 51' 35.834yyy</t>
  </si>
  <si>
    <t>€€€€ N,90° 20' 29.601zz</t>
  </si>
  <si>
    <t>€€€€€23° 51' 36.443ddd</t>
  </si>
  <si>
    <t>CCC N,90° 21' 4.919ggg</t>
  </si>
  <si>
    <t>LLLL23° 51' 37.049}}}}}</t>
  </si>
  <si>
    <t>v N,90° 21' 40.238w</t>
  </si>
  <si>
    <t>G23° 51' 37.654TTTTT</t>
  </si>
  <si>
    <t>\\\ N,90° 22' 15.557NN</t>
  </si>
  <si>
    <t>{23° 51' 38.256a</t>
  </si>
  <si>
    <t>````` N,90° 22' 50.876XXXXX</t>
  </si>
  <si>
    <t>nnn23° 51' 38.856GGG</t>
  </si>
  <si>
    <t>C N,90° 23' 26.195_</t>
  </si>
  <si>
    <t>F23° 51' 39.454^^^</t>
  </si>
  <si>
    <t>FFFFF N,90° 24' 1.515qqq</t>
  </si>
  <si>
    <t>jj23° 51' 40.049C</t>
  </si>
  <si>
    <t>qqq N,90° 24' 36.835RRRRR</t>
  </si>
  <si>
    <t>eeeee23° 51' 40.643^^^</t>
  </si>
  <si>
    <t>~~ N,90° 25' 12.155ooo</t>
  </si>
  <si>
    <t>d23° 51' 41.234XXX</t>
  </si>
  <si>
    <t>ww N,90° 25' 47.476€€€€€</t>
  </si>
  <si>
    <t>yy23° 51' 41.822PPP</t>
  </si>
  <si>
    <t>DDDD N,90° 26' 22.797JJJJ</t>
  </si>
  <si>
    <t>€€€23° 51' 42.409qqq</t>
  </si>
  <si>
    <t>\\\\\ N,90° 26' 58.119EEE</t>
  </si>
  <si>
    <t>qqqqq23° 51' 42.993}}}</t>
  </si>
  <si>
    <t>]] N,90° 27' 33.440H</t>
  </si>
  <si>
    <t>HH23° 51' 43.575jjjjj</t>
  </si>
  <si>
    <t>\\\\\ N,90° 28' 8.762TTTT</t>
  </si>
  <si>
    <t>bb23° 51' 44.155ff</t>
  </si>
  <si>
    <t>]] N,90° 28' 44.085P</t>
  </si>
  <si>
    <t>OOOO23° 51' 44.732}</t>
  </si>
  <si>
    <t>PPP N,90° 29' 19.407sssss</t>
  </si>
  <si>
    <t>HHHH23° 51' 45.307oooo</t>
  </si>
  <si>
    <t>{{ N,90° 29' 54.730</t>
  </si>
  <si>
    <t>€23° 51' 45.880qq</t>
  </si>
  <si>
    <t>} N,90° 30' 30.053s</t>
  </si>
  <si>
    <t>NNNN23° 52' 7.704{{{{{</t>
  </si>
  <si>
    <t>DDDDD N,90° 19' 53.617J</t>
  </si>
  <si>
    <t>WWWWW23° 52' 8.315sss</t>
  </si>
  <si>
    <t>RRR N,90° 20' 28.938wwww</t>
  </si>
  <si>
    <t>P23° 52' 8.925YY</t>
  </si>
  <si>
    <t>xxxxx N,90° 21' 4.258]]]]</t>
  </si>
  <si>
    <t>oo23° 52' 9.532LL</t>
  </si>
  <si>
    <t>RR N,90° 21' 39.579\\</t>
  </si>
  <si>
    <t>`````23° 52' 10.136QQ</t>
  </si>
  <si>
    <t>XXXX N,90° 22' 14.900MM</t>
  </si>
  <si>
    <t>v23° 52' 10.739}}}</t>
  </si>
  <si>
    <t>W N,90° 22' 50.222^^</t>
  </si>
  <si>
    <t>SSSS23° 52' 11.339uu</t>
  </si>
  <si>
    <t>pppp N,90° 23' 25.544}</t>
  </si>
  <si>
    <t>€€€23° 52' 11.937K</t>
  </si>
  <si>
    <t>I N,90° 24' 0.866bb</t>
  </si>
  <si>
    <t>^^23° 52' 12.533T</t>
  </si>
  <si>
    <t>t N,90° 24' 36.189|||||</t>
  </si>
  <si>
    <t>ww23° 52' 13.126kkkk</t>
  </si>
  <si>
    <t>bbbb N,90° 25' 11.511aaaa</t>
  </si>
  <si>
    <t>EEEEE23° 52' 13.717hhh</t>
  </si>
  <si>
    <t>EEEE N,90° 25' 46.835xxx</t>
  </si>
  <si>
    <t>ZZ23° 52' 14.306}}}</t>
  </si>
  <si>
    <t>||||| N,90° 26' 22.158hh</t>
  </si>
  <si>
    <t>jjjj23° 52' 14.893Z</t>
  </si>
  <si>
    <t>OOOO N,90° 26' 57.482CCCCC</t>
  </si>
  <si>
    <t>^^^23° 52' 15.478l</t>
  </si>
  <si>
    <t>MM N,90° 27' 32.806</t>
  </si>
  <si>
    <t>MMM23° 52' 16.060BBBB</t>
  </si>
  <si>
    <t>iii N,90° 28' 8.131dd</t>
  </si>
  <si>
    <t>€€€€€23° 52' 16.640F</t>
  </si>
  <si>
    <t>uuu N,90° 28' 43.455oo</t>
  </si>
  <si>
    <t>ii23° 52' 17.218YYYYY</t>
  </si>
  <si>
    <t>ZZZZ N,90° 29' 18.780gg</t>
  </si>
  <si>
    <t>jjj23° 52' 17.793y</t>
  </si>
  <si>
    <t> N,90° 29' 54.106j</t>
  </si>
  <si>
    <t>LL23° 52' 18.366SSSSS</t>
  </si>
  <si>
    <t>ttt N,90° 30' 29.431gggg</t>
  </si>
  <si>
    <t>YYY23° 52' 40.185KKKKK</t>
  </si>
  <si>
    <t>X N,90° 19' 52.951hhhh</t>
  </si>
  <si>
    <t>YY23° 52' 40.797uuuuu</t>
  </si>
  <si>
    <t>^ N,90° 20' 28.274qqq</t>
  </si>
  <si>
    <t>XXX23° 52' 41.407MM</t>
  </si>
  <si>
    <t>|||| N,90° 21' 3.597WWWWW</t>
  </si>
  <si>
    <t>ss23° 52' 42.014D</t>
  </si>
  <si>
    <t>CC N,90° 21' 38.920GGGGG</t>
  </si>
  <si>
    <t>bbb23° 52' 42.619qqq</t>
  </si>
  <si>
    <t>ooo N,90° 22' 14.244SS</t>
  </si>
  <si>
    <t>n23° 52' 43.221bbb</t>
  </si>
  <si>
    <t>gg N,90° 22' 49.568^^^^</t>
  </si>
  <si>
    <t>€€23° 52' 43.822zzzzz</t>
  </si>
  <si>
    <t>RR N,90° 23' 24.892K</t>
  </si>
  <si>
    <t>{23° 52' 44.420CCCCC</t>
  </si>
  <si>
    <t>p N,90° 24' 0.217FFF</t>
  </si>
  <si>
    <t>VVVV23° 52' 45.016ffff</t>
  </si>
  <si>
    <t>HHH N,90° 24' 35.542````</t>
  </si>
  <si>
    <t>BBBB23° 52' 45.610ff</t>
  </si>
  <si>
    <t>BBBB N,90° 25' 10.867B</t>
  </si>
  <si>
    <t>XXXX23° 52' 46.201€€€€€</t>
  </si>
  <si>
    <t>xxxxx N,90° 25' 46.193fffff</t>
  </si>
  <si>
    <t>M23° 52' 46.791{</t>
  </si>
  <si>
    <t>eeee N,90° 26' 21.519GGGG</t>
  </si>
  <si>
    <t>XXXXX23° 52' 47.378v</t>
  </si>
  <si>
    <t>YY N,90° 26' 56.845hhhhh</t>
  </si>
  <si>
    <t>{{23° 52' 47.962QQ</t>
  </si>
  <si>
    <t>}} N,90° 27' 32.172hhhh</t>
  </si>
  <si>
    <t>mmmm23° 52' 48.545KKKK</t>
  </si>
  <si>
    <t>yyyyy N,90° 28' 7.498€€€</t>
  </si>
  <si>
    <t>CCCC23° 52' 49.125€€€€</t>
  </si>
  <si>
    <t>XXX N,90° 28' 42.826___</t>
  </si>
  <si>
    <t>www23° 52' 49.703ee</t>
  </si>
  <si>
    <t>SSS N,90° 29' 18.153HHH</t>
  </si>
  <si>
    <t>ZZZZ23° 52' 50.279ooooo</t>
  </si>
  <si>
    <t>n N,90° 29' 53.481BBBBB</t>
  </si>
  <si>
    <t>dddd23° 52' 50.852hhhh</t>
  </si>
  <si>
    <t>b N,90° 30' 28.809kkkkk</t>
  </si>
  <si>
    <t>DDD23° 53' 12.667CCCCC</t>
  </si>
  <si>
    <t>rr N,90° 19' 52.284tt</t>
  </si>
  <si>
    <t>^^^^23° 53' 13.279n</t>
  </si>
  <si>
    <t>~~~~ N,90° 20' 27.610]]]]]</t>
  </si>
  <si>
    <t>~~~23° 53' 13.888SS</t>
  </si>
  <si>
    <t>m N,90° 21' 2.935fff</t>
  </si>
  <si>
    <t>fff23° 53' 14.496x</t>
  </si>
  <si>
    <t>yy N,90° 21' 38.261UUUU</t>
  </si>
  <si>
    <t>[23° 53' 15.101S</t>
  </si>
  <si>
    <t>HHHHH N,90° 22' 13.587mmm</t>
  </si>
  <si>
    <t>DD23° 53' 15.704WWWWW</t>
  </si>
  <si>
    <t>^^^^ N,90° 22' 48.914qqqq</t>
  </si>
  <si>
    <t>||23° 53' 16.305jj</t>
  </si>
  <si>
    <t>````` N,90° 23' 24.240T</t>
  </si>
  <si>
    <t>hhh23° 53' 16.903YY</t>
  </si>
  <si>
    <t>cccc N,90° 23' 59.567EE</t>
  </si>
  <si>
    <t>}}23° 53' 17.499x</t>
  </si>
  <si>
    <t>sss N,90° 24' 34.895DDDD</t>
  </si>
  <si>
    <t>QQQ23° 53' 18.093ssss</t>
  </si>
  <si>
    <t>MMMMM N,90° 25' 10.223pp</t>
  </si>
  <si>
    <t>mmmmm23° 53' 18.685IIIII</t>
  </si>
  <si>
    <t>€€ N,90° 25' 45.551WWWWW</t>
  </si>
  <si>
    <t>II23° 53' 19.275S</t>
  </si>
  <si>
    <t>PPPP N,90° 26' 20.879</t>
  </si>
  <si>
    <t>MM23° 53' 19.862}}}}}</t>
  </si>
  <si>
    <t>fffff N,90° 26' 56.208hhh</t>
  </si>
  <si>
    <t>^^^^^23° 53' 20.447ffff</t>
  </si>
  <si>
    <t>hhhhh N,90° 27' 31.537yyyy</t>
  </si>
  <si>
    <t>YYY23° 53' 21.030</t>
  </si>
  <si>
    <t>VVVVV N,90° 28' 6.866FFFF</t>
  </si>
  <si>
    <t>]]]23° 53' 21.610NNN</t>
  </si>
  <si>
    <t>eeeee N,90° 28' 42.196Z</t>
  </si>
  <si>
    <t>oooo23° 53' 22.188MM</t>
  </si>
  <si>
    <t>``` N,90° 29' 17.526VVVVV</t>
  </si>
  <si>
    <t>w23° 53' 22.764[</t>
  </si>
  <si>
    <t> N,90° 29' 52.856p</t>
  </si>
  <si>
    <t>|||23° 53' 23.338F</t>
  </si>
  <si>
    <t>{{{{ N,90° 30' 28.186xxxxx</t>
  </si>
  <si>
    <t>i23° 53' 45.148€€€€€</t>
  </si>
  <si>
    <t>WWWWW N,90° 19' 51.618w</t>
  </si>
  <si>
    <t>```23° 53' 45.760r</t>
  </si>
  <si>
    <t>X N,90° 20' 26.945LLL</t>
  </si>
  <si>
    <t>mmmmm23° 53' 46.370DDDDD</t>
  </si>
  <si>
    <t>CCCCC N,90° 21' 2.273yyyy</t>
  </si>
  <si>
    <t>fff23° 53' 46.978qqq</t>
  </si>
  <si>
    <t>O N,90° 21' 37.601gg</t>
  </si>
  <si>
    <t>TTT23° 53' 47.583t</t>
  </si>
  <si>
    <t>bbb N,90° 22' 12.930\\\</t>
  </si>
  <si>
    <t>tt23° 53' 48.187MMMMM</t>
  </si>
  <si>
    <t>eeeee N,90° 22' 48.259Y</t>
  </si>
  <si>
    <t>kk23° 53' 48.788T</t>
  </si>
  <si>
    <t>zzzz N,90° 23' 23.588bbbbb</t>
  </si>
  <si>
    <t>nnnn23° 53' 49.386a</t>
  </si>
  <si>
    <t>p N,90° 23' 58.918vvvv</t>
  </si>
  <si>
    <t>___23° 53' 49.983ww</t>
  </si>
  <si>
    <t>vv N,90° 24' 34.247}}}}</t>
  </si>
  <si>
    <t>yy23° 53' 50.577vvv</t>
  </si>
  <si>
    <t>DDD N,90° 25' 9.578</t>
  </si>
  <si>
    <t>w23° 53' 51.169€€</t>
  </si>
  <si>
    <t>]]]]] N,90° 25' 44.908YYYY</t>
  </si>
  <si>
    <t>AAAA23° 53' 51.759AAA</t>
  </si>
  <si>
    <t>KKKKK N,90° 26' 20.239u</t>
  </si>
  <si>
    <t>PPP23° 53' 52.346]]]]</t>
  </si>
  <si>
    <t>VVV N,90° 26' 55.570GG</t>
  </si>
  <si>
    <t>xxxx23° 53' 52.931HHHHH</t>
  </si>
  <si>
    <t>D N,90° 27' 30.902gg</t>
  </si>
  <si>
    <t>OOOO23° 53' 53.514fffff</t>
  </si>
  <si>
    <t>kkk N,90° 28' 6.233]</t>
  </si>
  <si>
    <t>]]]]]23° 53' 54.095Y</t>
  </si>
  <si>
    <t>{ N,90° 28' 41.565\\</t>
  </si>
  <si>
    <t>iiiii23° 53' 54.674IIIII</t>
  </si>
  <si>
    <t>eeee N,90° 29' 16.898WWW</t>
  </si>
  <si>
    <t>ttt23° 53' 55.250xxxxx</t>
  </si>
  <si>
    <t>__ N,90° 29' 52.231n</t>
  </si>
  <si>
    <t>EEEEE23° 53' 55.824QQ</t>
  </si>
  <si>
    <t>f N,90° 30' 27.564TTTT</t>
  </si>
  <si>
    <t>23° 40' 13.104 N</t>
  </si>
  <si>
    <t>23° 40' 13.709 N</t>
  </si>
  <si>
    <t>23° 40' 14.313 N</t>
  </si>
  <si>
    <t>23° 40' 14.914 N</t>
  </si>
  <si>
    <t>23° 40' 15.513 N</t>
  </si>
  <si>
    <t>23° 40' 16.110 N</t>
  </si>
  <si>
    <t>23° 40' 16.705 N</t>
  </si>
  <si>
    <t>23° 40' 17.297 N</t>
  </si>
  <si>
    <t>23° 40' 17.887 N</t>
  </si>
  <si>
    <t>23° 40' 18.475 N</t>
  </si>
  <si>
    <t>23° 40' 19.061 N</t>
  </si>
  <si>
    <t>23° 40' 19.644 N</t>
  </si>
  <si>
    <t>23° 40' 20.226 N</t>
  </si>
  <si>
    <t>23° 40' 20.805 N</t>
  </si>
  <si>
    <t>23° 40' 21.382 N</t>
  </si>
  <si>
    <t>23° 40' 21.956 N</t>
  </si>
  <si>
    <t>23° 40' 22.529 N</t>
  </si>
  <si>
    <t>23° 40' 23.099 N</t>
  </si>
  <si>
    <t>23° 40' 23.667 N</t>
  </si>
  <si>
    <t>23° 40' 45.586 N</t>
  </si>
  <si>
    <t>23° 40' 46.192 N</t>
  </si>
  <si>
    <t>23° 40' 46.796 N</t>
  </si>
  <si>
    <t>23° 40' 47.397 N</t>
  </si>
  <si>
    <t>23° 40' 47.997 N</t>
  </si>
  <si>
    <t>23° 40' 48.594 N</t>
  </si>
  <si>
    <t>23° 40' 49.189 N</t>
  </si>
  <si>
    <t>23° 40' 49.781 N</t>
  </si>
  <si>
    <t>23° 40' 50.372 N</t>
  </si>
  <si>
    <t>23° 40' 50.960 N</t>
  </si>
  <si>
    <t>23° 40' 51.546 N</t>
  </si>
  <si>
    <t>23° 40' 52.130 N</t>
  </si>
  <si>
    <t>23° 40' 52.711 N</t>
  </si>
  <si>
    <t>23° 40' 53.290 N</t>
  </si>
  <si>
    <t>23° 40' 53.867 N</t>
  </si>
  <si>
    <t>23° 40' 54.442 N</t>
  </si>
  <si>
    <t>23° 40' 55.015 N</t>
  </si>
  <si>
    <t>23° 40' 55.585 N</t>
  </si>
  <si>
    <t>23° 40' 56.153 N</t>
  </si>
  <si>
    <t>23° 41' 18.068 N</t>
  </si>
  <si>
    <t>23° 41' 18.674 N</t>
  </si>
  <si>
    <t>23° 41' 19.278 N</t>
  </si>
  <si>
    <t>23° 41' 19.880 N</t>
  </si>
  <si>
    <t>23° 41' 20.480 N</t>
  </si>
  <si>
    <t>23° 41' 21.077 N</t>
  </si>
  <si>
    <t>23° 41' 21.672 N</t>
  </si>
  <si>
    <t>23° 41' 22.265 N</t>
  </si>
  <si>
    <t>23° 41' 22.856 N</t>
  </si>
  <si>
    <t>23° 41' 23.444 N</t>
  </si>
  <si>
    <t>23° 41' 24.031 N</t>
  </si>
  <si>
    <t>23° 41' 24.615 N</t>
  </si>
  <si>
    <t>23° 41' 25.196 N</t>
  </si>
  <si>
    <t>23° 41' 25.776 N</t>
  </si>
  <si>
    <t>23° 41' 26.353 N</t>
  </si>
  <si>
    <t>23° 41' 26.928 N</t>
  </si>
  <si>
    <t>23° 41' 27.501 N</t>
  </si>
  <si>
    <t>23° 41' 28.072 N</t>
  </si>
  <si>
    <t>23° 41' 28.640 N</t>
  </si>
  <si>
    <t>23° 41' 50.550 N</t>
  </si>
  <si>
    <t>23° 41' 51.157 N</t>
  </si>
  <si>
    <t>23° 41' 51.761 N</t>
  </si>
  <si>
    <t>23° 41' 52.363 N</t>
  </si>
  <si>
    <t>23° 41' 52.963 N</t>
  </si>
  <si>
    <t>23° 41' 53.561 N</t>
  </si>
  <si>
    <t>23° 41' 54.156 N</t>
  </si>
  <si>
    <t>23° 41' 54.749 N</t>
  </si>
  <si>
    <t>23° 41' 55.340 N</t>
  </si>
  <si>
    <t>23° 41' 55.929 N</t>
  </si>
  <si>
    <t>23° 41' 56.515 N</t>
  </si>
  <si>
    <t>23° 41' 57.100 N</t>
  </si>
  <si>
    <t>23° 41' 57.682 N</t>
  </si>
  <si>
    <t>23° 41' 58.261 N</t>
  </si>
  <si>
    <t>23° 41' 58.839 N</t>
  </si>
  <si>
    <t>23° 41' 59.414 N</t>
  </si>
  <si>
    <t>23° 41' 59.987 N</t>
  </si>
  <si>
    <t>23° 42' 0.558 N</t>
  </si>
  <si>
    <t>23° 42' 1.127 N</t>
  </si>
  <si>
    <t>23° 42' 23.032 N</t>
  </si>
  <si>
    <t>23° 42' 23.639 N</t>
  </si>
  <si>
    <t>23° 42' 24.244 N</t>
  </si>
  <si>
    <t>23° 42' 24.846 N</t>
  </si>
  <si>
    <t>23° 42' 25.446 N</t>
  </si>
  <si>
    <t>23° 42' 26.044 N</t>
  </si>
  <si>
    <t>23° 42' 26.640 N</t>
  </si>
  <si>
    <t>23° 42' 27.233 N</t>
  </si>
  <si>
    <t>23° 42' 27.824 N</t>
  </si>
  <si>
    <t>23° 42' 28.413 N</t>
  </si>
  <si>
    <t>23° 42' 29.000 N</t>
  </si>
  <si>
    <t>23° 42' 29.585 N</t>
  </si>
  <si>
    <t>23° 42' 30.167 N</t>
  </si>
  <si>
    <t>23° 42' 30.747 N</t>
  </si>
  <si>
    <t>23° 42' 31.325 N</t>
  </si>
  <si>
    <t>23° 42' 31.900 N</t>
  </si>
  <si>
    <t>23° 42' 32.474 N</t>
  </si>
  <si>
    <t>23° 42' 33.045 N</t>
  </si>
  <si>
    <t>23° 42' 33.614 N</t>
  </si>
  <si>
    <t>23° 42' 55.515 N</t>
  </si>
  <si>
    <t>23° 42' 56.122 N</t>
  </si>
  <si>
    <t>23° 42' 56.726 N</t>
  </si>
  <si>
    <t>23° 42' 57.329 N</t>
  </si>
  <si>
    <t>23° 42' 57.929 N</t>
  </si>
  <si>
    <t>23° 42' 58.528 N</t>
  </si>
  <si>
    <t>23° 42' 59.123 N</t>
  </si>
  <si>
    <t>23° 42' 59.717 N</t>
  </si>
  <si>
    <t>23° 43' 0.309 N</t>
  </si>
  <si>
    <t>23° 43' 0.898 N</t>
  </si>
  <si>
    <t>23° 43' 1.485 N</t>
  </si>
  <si>
    <t>23° 43' 2.069 N</t>
  </si>
  <si>
    <t>23° 43' 2.652 N</t>
  </si>
  <si>
    <t>23° 43' 3.232 N</t>
  </si>
  <si>
    <t>23° 43' 3.810 N</t>
  </si>
  <si>
    <t>23° 43' 4.386 N</t>
  </si>
  <si>
    <t>23° 43' 4.960 N</t>
  </si>
  <si>
    <t>23° 43' 5.531 N</t>
  </si>
  <si>
    <t>23° 43' 6.100 N</t>
  </si>
  <si>
    <t>23° 43' 27.997 N</t>
  </si>
  <si>
    <t>23° 43' 28.604 N</t>
  </si>
  <si>
    <t>23° 43' 29.209 N</t>
  </si>
  <si>
    <t>23° 43' 29.812 N</t>
  </si>
  <si>
    <t>23° 43' 30.413 N</t>
  </si>
  <si>
    <t>23° 43' 31.011 N</t>
  </si>
  <si>
    <t>23° 43' 31.607 N</t>
  </si>
  <si>
    <t>23° 43' 32.201 N</t>
  </si>
  <si>
    <t>23° 43' 32.793 N</t>
  </si>
  <si>
    <t>23° 43' 33.382 N</t>
  </si>
  <si>
    <t>23° 43' 33.969 N</t>
  </si>
  <si>
    <t>23° 43' 34.554 N</t>
  </si>
  <si>
    <t>23° 43' 35.137 N</t>
  </si>
  <si>
    <t>23° 43' 35.718 N</t>
  </si>
  <si>
    <t>23° 43' 36.296 N</t>
  </si>
  <si>
    <t>23° 43' 36.872 N</t>
  </si>
  <si>
    <t>23° 43' 37.446 N</t>
  </si>
  <si>
    <t>23° 43' 38.017 N</t>
  </si>
  <si>
    <t>23° 43' 38.587 N</t>
  </si>
  <si>
    <t>23° 44' 0.479 N</t>
  </si>
  <si>
    <t>23° 44' 1.086 N</t>
  </si>
  <si>
    <t>23° 44' 1.692 N</t>
  </si>
  <si>
    <t>23° 44' 2.295 N</t>
  </si>
  <si>
    <t>23° 44' 2.896 N</t>
  </si>
  <si>
    <t>23° 44' 3.494 N</t>
  </si>
  <si>
    <t>23° 44' 4.091 N</t>
  </si>
  <si>
    <t>23° 44' 4.685 N</t>
  </si>
  <si>
    <t>23° 44' 5.277 N</t>
  </si>
  <si>
    <t>23° 44' 5.866 N</t>
  </si>
  <si>
    <t>23° 44' 6.454 N</t>
  </si>
  <si>
    <t>23° 44' 7.039 N</t>
  </si>
  <si>
    <t>23° 44' 7.622 N</t>
  </si>
  <si>
    <t>23° 44' 8.203 N</t>
  </si>
  <si>
    <t>23° 44' 8.781 N</t>
  </si>
  <si>
    <t>23° 44' 9.358 N</t>
  </si>
  <si>
    <t>23° 44' 9.932 N</t>
  </si>
  <si>
    <t>23° 44' 10.504 N</t>
  </si>
  <si>
    <t>23° 44' 11.073 N</t>
  </si>
  <si>
    <t>23° 44' 32.961 N</t>
  </si>
  <si>
    <t>23° 44' 33.569 N</t>
  </si>
  <si>
    <t>23° 44' 34.174 N</t>
  </si>
  <si>
    <t>23° 44' 34.777 N</t>
  </si>
  <si>
    <t>23° 44' 35.379 N</t>
  </si>
  <si>
    <t>23° 44' 35.977 N</t>
  </si>
  <si>
    <t>23° 44' 36.574 N</t>
  </si>
  <si>
    <t>23° 44' 37.169 N</t>
  </si>
  <si>
    <t>23° 44' 37.761 N</t>
  </si>
  <si>
    <t>23° 44' 38.351 N</t>
  </si>
  <si>
    <t>23° 44' 38.938 N</t>
  </si>
  <si>
    <t>23° 44' 39.524 N</t>
  </si>
  <si>
    <t>23° 44' 40.107 N</t>
  </si>
  <si>
    <t>23° 44' 40.688 N</t>
  </si>
  <si>
    <t>23° 44' 41.267 N</t>
  </si>
  <si>
    <t>23° 44' 41.844 N</t>
  </si>
  <si>
    <t>23° 44' 42.418 N</t>
  </si>
  <si>
    <t>23° 44' 42.990 N</t>
  </si>
  <si>
    <t>23° 44' 43.560 N</t>
  </si>
  <si>
    <t>23° 45' 5.443 N</t>
  </si>
  <si>
    <t>23° 45' 6.051 N</t>
  </si>
  <si>
    <t>23° 45' 6.657 N</t>
  </si>
  <si>
    <t>23° 45' 7.260 N</t>
  </si>
  <si>
    <t>23° 45' 7.862 N</t>
  </si>
  <si>
    <t>23° 45' 8.461 N</t>
  </si>
  <si>
    <t>23° 45' 9.058 N</t>
  </si>
  <si>
    <t>23° 45' 9.652 N</t>
  </si>
  <si>
    <t>23° 45' 10.245 N</t>
  </si>
  <si>
    <t>23° 45' 10.835 N</t>
  </si>
  <si>
    <t>23° 45' 11.423 N</t>
  </si>
  <si>
    <t>23° 45' 12.009 N</t>
  </si>
  <si>
    <t>23° 45' 12.592 N</t>
  </si>
  <si>
    <t>23° 45' 13.173 N</t>
  </si>
  <si>
    <t>23° 45' 13.752 N</t>
  </si>
  <si>
    <t>23° 45' 14.329 N</t>
  </si>
  <si>
    <t>23° 45' 14.904 N</t>
  </si>
  <si>
    <t>23° 45' 15.476 N</t>
  </si>
  <si>
    <t>23° 45' 16.046 N</t>
  </si>
  <si>
    <t>23° 45' 37.925 N</t>
  </si>
  <si>
    <t>23° 45' 38.533 N</t>
  </si>
  <si>
    <t>23° 45' 39.139 N</t>
  </si>
  <si>
    <t>23° 45' 39.743 N</t>
  </si>
  <si>
    <t>23° 45' 40.344 N</t>
  </si>
  <si>
    <t>23° 45' 40.944 N</t>
  </si>
  <si>
    <t>23° 45' 41.541 N</t>
  </si>
  <si>
    <t>23° 45' 42.136 N</t>
  </si>
  <si>
    <t>23° 45' 42.729 N</t>
  </si>
  <si>
    <t>23° 45' 43.319 N</t>
  </si>
  <si>
    <t>23° 45' 43.907 N</t>
  </si>
  <si>
    <t>23° 45' 44.493 N</t>
  </si>
  <si>
    <t>23° 45' 45.077 N</t>
  </si>
  <si>
    <t>23° 45' 45.659 N</t>
  </si>
  <si>
    <t>23° 45' 46.238 N</t>
  </si>
  <si>
    <t>23° 45' 46.815 N</t>
  </si>
  <si>
    <t>23° 45' 47.390 N</t>
  </si>
  <si>
    <t>23° 45' 47.962 N</t>
  </si>
  <si>
    <t>23° 45' 48.533 N</t>
  </si>
  <si>
    <t>23° 46' 10.406 N</t>
  </si>
  <si>
    <t>23° 46' 11.015 N</t>
  </si>
  <si>
    <t>23° 46' 11.621 N</t>
  </si>
  <si>
    <t>23° 46' 12.225 N</t>
  </si>
  <si>
    <t>23° 46' 12.827 N</t>
  </si>
  <si>
    <t>23° 46' 13.427 N</t>
  </si>
  <si>
    <t>23° 46' 14.024 N</t>
  </si>
  <si>
    <t>23° 46' 14.620 N</t>
  </si>
  <si>
    <t>23° 46' 15.213 N</t>
  </si>
  <si>
    <t>23° 46' 15.803 N</t>
  </si>
  <si>
    <t>23° 46' 16.392 N</t>
  </si>
  <si>
    <t>23° 46' 16.978 N</t>
  </si>
  <si>
    <t>23° 46' 17.562 N</t>
  </si>
  <si>
    <t>23° 46' 18.144 N</t>
  </si>
  <si>
    <t>23° 46' 18.723 N</t>
  </si>
  <si>
    <t>23° 46' 19.301 N</t>
  </si>
  <si>
    <t>23° 46' 19.876 N</t>
  </si>
  <si>
    <t>23° 46' 20.448 N</t>
  </si>
  <si>
    <t>23° 46' 21.019 N</t>
  </si>
  <si>
    <t>23° 46' 42.888 N</t>
  </si>
  <si>
    <t>23° 46' 43.497 N</t>
  </si>
  <si>
    <t>23° 46' 44.104 N</t>
  </si>
  <si>
    <t>23° 46' 44.708 N</t>
  </si>
  <si>
    <t>23° 46' 45.310 N</t>
  </si>
  <si>
    <t>23° 46' 45.910 N</t>
  </si>
  <si>
    <t>23° 46' 46.508 N</t>
  </si>
  <si>
    <t>23° 46' 47.103 N</t>
  </si>
  <si>
    <t>23° 46' 47.696 N</t>
  </si>
  <si>
    <t>23° 46' 48.287 N</t>
  </si>
  <si>
    <t>23° 46' 48.876 N</t>
  </si>
  <si>
    <t>23° 46' 49.463 N</t>
  </si>
  <si>
    <t>23° 46' 50.047 N</t>
  </si>
  <si>
    <t>23° 46' 50.629 N</t>
  </si>
  <si>
    <t>23° 46' 51.209 N</t>
  </si>
  <si>
    <t>23° 46' 51.786 N</t>
  </si>
  <si>
    <t>23° 46' 52.362 N</t>
  </si>
  <si>
    <t>23° 46' 52.935 N</t>
  </si>
  <si>
    <t>23° 46' 53.505 N</t>
  </si>
  <si>
    <t>23° 47' 15.370 N</t>
  </si>
  <si>
    <t>23° 47' 15.979 N</t>
  </si>
  <si>
    <t>23° 47' 16.586 N</t>
  </si>
  <si>
    <t>23° 47' 17.191 N</t>
  </si>
  <si>
    <t>23° 47' 17.793 N</t>
  </si>
  <si>
    <t>23° 47' 18.393 N</t>
  </si>
  <si>
    <t>23° 47' 18.991 N</t>
  </si>
  <si>
    <t>23° 47' 19.587 N</t>
  </si>
  <si>
    <t>23° 47' 20.180 N</t>
  </si>
  <si>
    <t>23° 47' 20.771 N</t>
  </si>
  <si>
    <t>23° 47' 21.360 N</t>
  </si>
  <si>
    <t>23° 47' 21.947 N</t>
  </si>
  <si>
    <t>23° 47' 22.532 N</t>
  </si>
  <si>
    <t>23° 47' 23.114 N</t>
  </si>
  <si>
    <t>23° 47' 23.694 N</t>
  </si>
  <si>
    <t>23° 47' 24.272 N</t>
  </si>
  <si>
    <t>23° 47' 24.847 N</t>
  </si>
  <si>
    <t>23° 47' 25.421 N</t>
  </si>
  <si>
    <t>23° 47' 25.992 N</t>
  </si>
  <si>
    <t>23° 47' 47.852 N</t>
  </si>
  <si>
    <t>23° 47' 48.461 N</t>
  </si>
  <si>
    <t>23° 47' 49.068 N</t>
  </si>
  <si>
    <t>23° 47' 49.673 N</t>
  </si>
  <si>
    <t>23° 47' 50.276 N</t>
  </si>
  <si>
    <t>23° 47' 50.876 N</t>
  </si>
  <si>
    <t>23° 47' 51.474 N</t>
  </si>
  <si>
    <t>23° 47' 52.070 N</t>
  </si>
  <si>
    <t>23° 47' 52.664 N</t>
  </si>
  <si>
    <t>23° 47' 53.256 N</t>
  </si>
  <si>
    <t>23° 47' 53.845 N</t>
  </si>
  <si>
    <t>23° 47' 54.432 N</t>
  </si>
  <si>
    <t>23° 47' 55.016 N</t>
  </si>
  <si>
    <t>23° 47' 55.599 N</t>
  </si>
  <si>
    <t>23° 47' 56.179 N</t>
  </si>
  <si>
    <t>23° 47' 56.757 N</t>
  </si>
  <si>
    <t>23° 47' 57.333 N</t>
  </si>
  <si>
    <t>23° 47' 57.907 N</t>
  </si>
  <si>
    <t>23° 47' 58.478 N</t>
  </si>
  <si>
    <t>23° 48' 20.333 N</t>
  </si>
  <si>
    <t>23° 48' 20.943 N</t>
  </si>
  <si>
    <t>23° 48' 21.550 N</t>
  </si>
  <si>
    <t>23° 48' 22.156 N</t>
  </si>
  <si>
    <t>23° 48' 22.759 N</t>
  </si>
  <si>
    <t>23° 48' 23.359 N</t>
  </si>
  <si>
    <t>23° 48' 23.958 N</t>
  </si>
  <si>
    <t>23° 48' 24.554 N</t>
  </si>
  <si>
    <t>23° 48' 25.148 N</t>
  </si>
  <si>
    <t>23° 48' 25.740 N</t>
  </si>
  <si>
    <t>23° 48' 26.329 N</t>
  </si>
  <si>
    <t>23° 48' 26.916 N</t>
  </si>
  <si>
    <t>23° 48' 27.501 N</t>
  </si>
  <si>
    <t>23° 48' 28.084 N</t>
  </si>
  <si>
    <t>23° 48' 28.664 N</t>
  </si>
  <si>
    <t>23° 48' 29.243 N</t>
  </si>
  <si>
    <t>23° 48' 29.819 N</t>
  </si>
  <si>
    <t>23° 48' 30.393 N</t>
  </si>
  <si>
    <t>23° 48' 30.964 N</t>
  </si>
  <si>
    <t>23° 48' 52.815 N</t>
  </si>
  <si>
    <t>23° 48' 53.425 N</t>
  </si>
  <si>
    <t>23° 48' 54.033 N</t>
  </si>
  <si>
    <t>23° 48' 54.638 N</t>
  </si>
  <si>
    <t>23° 48' 55.241 N</t>
  </si>
  <si>
    <t>23° 48' 55.842 N</t>
  </si>
  <si>
    <t>23° 48' 56.441 N</t>
  </si>
  <si>
    <t>23° 48' 57.037 N</t>
  </si>
  <si>
    <t>23° 48' 57.631 N</t>
  </si>
  <si>
    <t>23° 48' 58.223 N</t>
  </si>
  <si>
    <t>23° 48' 58.813 N</t>
  </si>
  <si>
    <t>23° 48' 59.401 N</t>
  </si>
  <si>
    <t>23° 48' 59.986 N</t>
  </si>
  <si>
    <t>23° 49' 0.569 N</t>
  </si>
  <si>
    <t>23° 49' 1.150 N</t>
  </si>
  <si>
    <t>23° 49' 1.728 N</t>
  </si>
  <si>
    <t>23° 49' 2.304 N</t>
  </si>
  <si>
    <t>23° 49' 2.879 N</t>
  </si>
  <si>
    <t>23° 49' 3.450 N</t>
  </si>
  <si>
    <t>23° 49' 25.297 N</t>
  </si>
  <si>
    <t>23° 49' 25.907 N</t>
  </si>
  <si>
    <t>23° 49' 26.515 N</t>
  </si>
  <si>
    <t>23° 49' 27.120 N</t>
  </si>
  <si>
    <t>23° 49' 27.724 N</t>
  </si>
  <si>
    <t>23° 49' 28.325 N</t>
  </si>
  <si>
    <t>23° 49' 28.924 N</t>
  </si>
  <si>
    <t>23° 49' 29.521 N</t>
  </si>
  <si>
    <t>23° 49' 30.115 N</t>
  </si>
  <si>
    <t>23° 49' 30.707 N</t>
  </si>
  <si>
    <t>23° 49' 31.297 N</t>
  </si>
  <si>
    <t>23° 49' 31.885 N</t>
  </si>
  <si>
    <t>23° 49' 32.471 N</t>
  </si>
  <si>
    <t>23° 49' 33.054 N</t>
  </si>
  <si>
    <t>23° 49' 33.635 N</t>
  </si>
  <si>
    <t>23° 49' 34.214 N</t>
  </si>
  <si>
    <t>23° 49' 34.790 N</t>
  </si>
  <si>
    <t>23° 49' 35.364 N</t>
  </si>
  <si>
    <t>23° 49' 35.936 N</t>
  </si>
  <si>
    <t>23° 49' 57.778 N</t>
  </si>
  <si>
    <t>23° 49' 58.389 N</t>
  </si>
  <si>
    <t>23° 49' 58.997 N</t>
  </si>
  <si>
    <t>23° 49' 59.603 N</t>
  </si>
  <si>
    <t>23° 50' 0.206 N</t>
  </si>
  <si>
    <t>23° 50' 0.808 N</t>
  </si>
  <si>
    <t>23° 50' 1.407 N</t>
  </si>
  <si>
    <t>23° 50' 2.004 N</t>
  </si>
  <si>
    <t>23° 50' 2.599 N</t>
  </si>
  <si>
    <t>23° 50' 3.191 N</t>
  </si>
  <si>
    <t>23° 50' 3.781 N</t>
  </si>
  <si>
    <t>23° 50' 4.369 N</t>
  </si>
  <si>
    <t>23° 50' 4.955 N</t>
  </si>
  <si>
    <t>23° 50' 5.539 N</t>
  </si>
  <si>
    <t>23° 50' 6.120 N</t>
  </si>
  <si>
    <t>23° 50' 6.699 N</t>
  </si>
  <si>
    <t>23° 50' 7.276 N</t>
  </si>
  <si>
    <t>23° 50' 7.850 N</t>
  </si>
  <si>
    <t>23° 50' 8.422 N</t>
  </si>
  <si>
    <t>23° 50' 30.260 N</t>
  </si>
  <si>
    <t>23° 50' 30.870 N</t>
  </si>
  <si>
    <t>23° 50' 31.479 N</t>
  </si>
  <si>
    <t>23° 50' 32.085 N</t>
  </si>
  <si>
    <t>23° 50' 32.689 N</t>
  </si>
  <si>
    <t>23° 50' 33.291 N</t>
  </si>
  <si>
    <t>23° 50' 33.890 N</t>
  </si>
  <si>
    <t>23° 50' 34.487 N</t>
  </si>
  <si>
    <t>23° 50' 35.082 N</t>
  </si>
  <si>
    <t>23° 50' 35.675 N</t>
  </si>
  <si>
    <t>23° 50' 36.266 N</t>
  </si>
  <si>
    <t>23° 50' 36.854 N</t>
  </si>
  <si>
    <t>23° 50' 37.440 N</t>
  </si>
  <si>
    <t>23° 50' 38.023 N</t>
  </si>
  <si>
    <t>23° 50' 38.605 N</t>
  </si>
  <si>
    <t>23° 50' 39.184 N</t>
  </si>
  <si>
    <t>23° 50' 39.761 N</t>
  </si>
  <si>
    <t>23° 50' 40.336 N</t>
  </si>
  <si>
    <t>23° 50' 40.909 N</t>
  </si>
  <si>
    <t>23° 51' 2.741 N</t>
  </si>
  <si>
    <t>23° 51' 3.352 N</t>
  </si>
  <si>
    <t>23° 51' 3.961 N</t>
  </si>
  <si>
    <t>23° 51' 4.567 N</t>
  </si>
  <si>
    <t>23° 51' 5.171 N</t>
  </si>
  <si>
    <t>23° 51' 5.773 N</t>
  </si>
  <si>
    <t>23° 51' 6.373 N</t>
  </si>
  <si>
    <t>23° 51' 6.971 N</t>
  </si>
  <si>
    <t>23° 51' 7.566 N</t>
  </si>
  <si>
    <t>23° 51' 8.159 N</t>
  </si>
  <si>
    <t>23° 51' 8.750 N</t>
  </si>
  <si>
    <t>23° 51' 9.338 N</t>
  </si>
  <si>
    <t>23° 51' 9.924 N</t>
  </si>
  <si>
    <t>23° 51' 10.508 N</t>
  </si>
  <si>
    <t>23° 51' 11.090 N</t>
  </si>
  <si>
    <t>23° 51' 11.669 N</t>
  </si>
  <si>
    <t>23° 51' 12.247 N</t>
  </si>
  <si>
    <t>23° 51' 12.822 N</t>
  </si>
  <si>
    <t>23° 51' 13.395 N</t>
  </si>
  <si>
    <t>23° 51' 35.223 N</t>
  </si>
  <si>
    <t>23° 51' 35.834 N</t>
  </si>
  <si>
    <t>23° 51' 36.443 N</t>
  </si>
  <si>
    <t>23° 51' 37.049 N</t>
  </si>
  <si>
    <t>23° 51' 37.654 N</t>
  </si>
  <si>
    <t>23° 51' 38.256 N</t>
  </si>
  <si>
    <t>23° 51' 38.856 N</t>
  </si>
  <si>
    <t>23° 51' 39.454 N</t>
  </si>
  <si>
    <t>23° 51' 40.049 N</t>
  </si>
  <si>
    <t>23° 51' 40.643 N</t>
  </si>
  <si>
    <t>23° 51' 41.234 N</t>
  </si>
  <si>
    <t>23° 51' 41.822 N</t>
  </si>
  <si>
    <t>23° 51' 42.409 N</t>
  </si>
  <si>
    <t>23° 51' 42.993 N</t>
  </si>
  <si>
    <t>23° 51' 43.575 N</t>
  </si>
  <si>
    <t>23° 51' 44.155 N</t>
  </si>
  <si>
    <t>23° 51' 44.732 N</t>
  </si>
  <si>
    <t>23° 51' 45.307 N</t>
  </si>
  <si>
    <t>23° 51' 45.880 N</t>
  </si>
  <si>
    <t>23° 52' 7.704 N</t>
  </si>
  <si>
    <t>23° 52' 8.315 N</t>
  </si>
  <si>
    <t>23° 52' 8.925 N</t>
  </si>
  <si>
    <t>23° 52' 9.532 N</t>
  </si>
  <si>
    <t>23° 52' 10.136 N</t>
  </si>
  <si>
    <t>23° 52' 10.739 N</t>
  </si>
  <si>
    <t>23° 52' 11.339 N</t>
  </si>
  <si>
    <t>23° 52' 11.937 N</t>
  </si>
  <si>
    <t>23° 52' 12.533 N</t>
  </si>
  <si>
    <t>23° 52' 13.126 N</t>
  </si>
  <si>
    <t>23° 52' 13.717 N</t>
  </si>
  <si>
    <t>23° 52' 14.306 N</t>
  </si>
  <si>
    <t>23° 52' 14.893 N</t>
  </si>
  <si>
    <t>23° 52' 15.478 N</t>
  </si>
  <si>
    <t>23° 52' 16.060 N</t>
  </si>
  <si>
    <t>23° 52' 16.640 N</t>
  </si>
  <si>
    <t>23° 52' 17.218 N</t>
  </si>
  <si>
    <t>23° 52' 17.793 N</t>
  </si>
  <si>
    <t>23° 52' 18.366 N</t>
  </si>
  <si>
    <t>23° 52' 40.185 N</t>
  </si>
  <si>
    <t>23° 52' 40.797 N</t>
  </si>
  <si>
    <t>23° 52' 41.407 N</t>
  </si>
  <si>
    <t>23° 52' 42.014 N</t>
  </si>
  <si>
    <t>23° 52' 42.619 N</t>
  </si>
  <si>
    <t>23° 52' 43.221 N</t>
  </si>
  <si>
    <t>23° 52' 43.822 N</t>
  </si>
  <si>
    <t>23° 52' 44.420 N</t>
  </si>
  <si>
    <t>23° 52' 45.016 N</t>
  </si>
  <si>
    <t>23° 52' 45.610 N</t>
  </si>
  <si>
    <t>23° 52' 46.201 N</t>
  </si>
  <si>
    <t>23° 52' 46.791 N</t>
  </si>
  <si>
    <t>23° 52' 47.378 N</t>
  </si>
  <si>
    <t>23° 52' 47.962 N</t>
  </si>
  <si>
    <t>23° 52' 48.545 N</t>
  </si>
  <si>
    <t>23° 52' 49.125 N</t>
  </si>
  <si>
    <t>23° 52' 49.703 N</t>
  </si>
  <si>
    <t>23° 52' 50.279 N</t>
  </si>
  <si>
    <t>23° 52' 50.852 N</t>
  </si>
  <si>
    <t>23° 53' 12.667 N</t>
  </si>
  <si>
    <t>23° 53' 13.279 N</t>
  </si>
  <si>
    <t>23° 53' 13.888 N</t>
  </si>
  <si>
    <t>23° 53' 14.496 N</t>
  </si>
  <si>
    <t>23° 53' 15.101 N</t>
  </si>
  <si>
    <t>23° 53' 15.704 N</t>
  </si>
  <si>
    <t>23° 53' 16.305 N</t>
  </si>
  <si>
    <t>23° 53' 16.903 N</t>
  </si>
  <si>
    <t>23° 53' 17.499 N</t>
  </si>
  <si>
    <t>23° 53' 18.093 N</t>
  </si>
  <si>
    <t>23° 53' 18.685 N</t>
  </si>
  <si>
    <t>23° 53' 19.275 N</t>
  </si>
  <si>
    <t>23° 53' 19.862 N</t>
  </si>
  <si>
    <t>23° 53' 20.447 N</t>
  </si>
  <si>
    <t>23° 53' 21.030 N</t>
  </si>
  <si>
    <t>23° 53' 21.610 N</t>
  </si>
  <si>
    <t>23° 53' 22.188 N</t>
  </si>
  <si>
    <t>23° 53' 22.764 N</t>
  </si>
  <si>
    <t>23° 53' 23.338 N</t>
  </si>
  <si>
    <t>23° 53' 45.148 N</t>
  </si>
  <si>
    <t>23° 53' 45.760 N</t>
  </si>
  <si>
    <t>23° 53' 46.370 N</t>
  </si>
  <si>
    <t>23° 53' 46.978 N</t>
  </si>
  <si>
    <t>23° 53' 47.583 N</t>
  </si>
  <si>
    <t>23° 53' 48.187 N</t>
  </si>
  <si>
    <t>23° 53' 48.788 N</t>
  </si>
  <si>
    <t>23° 53' 49.386 N</t>
  </si>
  <si>
    <t>23° 53' 49.983 N</t>
  </si>
  <si>
    <t>23° 53' 50.577 N</t>
  </si>
  <si>
    <t>23° 53' 51.169 N</t>
  </si>
  <si>
    <t>23° 53' 51.759 N</t>
  </si>
  <si>
    <t>23° 53' 52.346 N</t>
  </si>
  <si>
    <t>23° 53' 52.931 N</t>
  </si>
  <si>
    <t>23° 53' 53.514 N</t>
  </si>
  <si>
    <t>23° 53' 54.095 N</t>
  </si>
  <si>
    <t>23° 53' 54.674 N</t>
  </si>
  <si>
    <t>23° 53' 55.250 N</t>
  </si>
  <si>
    <t>23° 53' 55.824 N</t>
  </si>
  <si>
    <t>90° 20' 8.192 E</t>
  </si>
  <si>
    <t>90° 20' 43.459 E</t>
  </si>
  <si>
    <t>90° 21' 18.726 E</t>
  </si>
  <si>
    <t>90° 21' 53.994 E</t>
  </si>
  <si>
    <t>90° 22' 29.262 E</t>
  </si>
  <si>
    <t>90° 23' 4.530 E</t>
  </si>
  <si>
    <t>90° 23' 39.798 E</t>
  </si>
  <si>
    <t>90° 24' 15.067 E</t>
  </si>
  <si>
    <t>90° 24' 50.336 E</t>
  </si>
  <si>
    <t>90° 25' 25.605 E</t>
  </si>
  <si>
    <t>90° 26' 0.875 E</t>
  </si>
  <si>
    <t>90° 26' 36.145 E</t>
  </si>
  <si>
    <t>90° 27' 11.416 E</t>
  </si>
  <si>
    <t>90° 27' 46.686 E</t>
  </si>
  <si>
    <t>90° 28' 21.957 E</t>
  </si>
  <si>
    <t>90° 28' 57.228 E</t>
  </si>
  <si>
    <t>90° 29' 32.500 E</t>
  </si>
  <si>
    <t>90° 30' 7.772 E</t>
  </si>
  <si>
    <t>90° 30' 43.044 E</t>
  </si>
  <si>
    <t>90° 20' 7.533 E</t>
  </si>
  <si>
    <t>90° 20' 42.803 E</t>
  </si>
  <si>
    <t>90° 21' 18.072 E</t>
  </si>
  <si>
    <t>90° 21' 53.342 E</t>
  </si>
  <si>
    <t>90° 22' 28.612 E</t>
  </si>
  <si>
    <t>90° 23' 3.883 E</t>
  </si>
  <si>
    <t>90° 23' 39.154 E</t>
  </si>
  <si>
    <t>90° 24' 14.425 E</t>
  </si>
  <si>
    <t>90° 24' 49.696 E</t>
  </si>
  <si>
    <t>90° 25' 24.968 E</t>
  </si>
  <si>
    <t>90° 26' 0.240 E</t>
  </si>
  <si>
    <t>90° 26' 35.513 E</t>
  </si>
  <si>
    <t>90° 27' 10.786 E</t>
  </si>
  <si>
    <t>90° 27' 46.059 E</t>
  </si>
  <si>
    <t>90° 28' 21.332 E</t>
  </si>
  <si>
    <t>90° 28' 56.606 E</t>
  </si>
  <si>
    <t>90° 29' 31.880 E</t>
  </si>
  <si>
    <t>90° 30' 7.154 E</t>
  </si>
  <si>
    <t>90° 30' 42.429 E</t>
  </si>
  <si>
    <t>90° 20' 6.874 E</t>
  </si>
  <si>
    <t>90° 20' 42.146 E</t>
  </si>
  <si>
    <t>90° 21' 17.418 E</t>
  </si>
  <si>
    <t>90° 21' 52.690 E</t>
  </si>
  <si>
    <t>90° 22' 27.963 E</t>
  </si>
  <si>
    <t>90° 23' 3.235 E</t>
  </si>
  <si>
    <t>90° 23' 38.509 E</t>
  </si>
  <si>
    <t>90° 24' 13.782 E</t>
  </si>
  <si>
    <t>90° 24' 49.056 E</t>
  </si>
  <si>
    <t>90° 25' 24.331 E</t>
  </si>
  <si>
    <t>90° 25' 59.605 E</t>
  </si>
  <si>
    <t>90° 26' 34.880 E</t>
  </si>
  <si>
    <t>90° 27' 10.155 E</t>
  </si>
  <si>
    <t>90° 27' 45.431 E</t>
  </si>
  <si>
    <t>90° 28' 20.706 E</t>
  </si>
  <si>
    <t>90° 28' 55.983 E</t>
  </si>
  <si>
    <t>90° 29' 31.259 E</t>
  </si>
  <si>
    <t>90° 30' 6.536 E</t>
  </si>
  <si>
    <t>90° 30' 41.813 E</t>
  </si>
  <si>
    <t>90° 20' 6.214 E</t>
  </si>
  <si>
    <t>90° 20' 41.488 E</t>
  </si>
  <si>
    <t>90° 21' 16.763 E</t>
  </si>
  <si>
    <t>90° 21' 52.037 E</t>
  </si>
  <si>
    <t>90° 22' 27.312 E</t>
  </si>
  <si>
    <t>90° 23' 2.588 E</t>
  </si>
  <si>
    <t>90° 23' 37.864 E</t>
  </si>
  <si>
    <t>90° 24' 13.140 E</t>
  </si>
  <si>
    <t>90° 24' 48.416 E</t>
  </si>
  <si>
    <t>90° 25' 23.693 E</t>
  </si>
  <si>
    <t>90° 25' 58.970 E</t>
  </si>
  <si>
    <t>90° 26' 34.247 E</t>
  </si>
  <si>
    <t>90° 27' 9.524 E</t>
  </si>
  <si>
    <t>90° 27' 44.802 E</t>
  </si>
  <si>
    <t>90° 28' 20.081 E</t>
  </si>
  <si>
    <t>90° 28' 55.359 E</t>
  </si>
  <si>
    <t>90° 29' 30.638 E</t>
  </si>
  <si>
    <t>90° 30' 5.917 E</t>
  </si>
  <si>
    <t>90° 30' 41.197 E</t>
  </si>
  <si>
    <t>90° 20' 5.554 E</t>
  </si>
  <si>
    <t>90° 20' 40.831 E</t>
  </si>
  <si>
    <t>90° 21' 16.107 E</t>
  </si>
  <si>
    <t>90° 21' 51.385 E</t>
  </si>
  <si>
    <t>90° 22' 26.662 E</t>
  </si>
  <si>
    <t>90° 23' 1.940 E</t>
  </si>
  <si>
    <t>90° 23' 37.218 E</t>
  </si>
  <si>
    <t>90° 24' 12.496 E</t>
  </si>
  <si>
    <t>90° 24' 47.775 E</t>
  </si>
  <si>
    <t>90° 25' 23.054 E</t>
  </si>
  <si>
    <t>90° 25' 58.334 E</t>
  </si>
  <si>
    <t>90° 26' 33.613 E</t>
  </si>
  <si>
    <t>90° 27' 8.893 E</t>
  </si>
  <si>
    <t>90° 27' 44.174 E</t>
  </si>
  <si>
    <t>90° 28' 19.454 E</t>
  </si>
  <si>
    <t>90° 28' 54.735 E</t>
  </si>
  <si>
    <t>90° 29' 30.017 E</t>
  </si>
  <si>
    <t>90° 30' 5.298 E</t>
  </si>
  <si>
    <t>90° 30' 40.580 E</t>
  </si>
  <si>
    <t>90° 20' 4.894 E</t>
  </si>
  <si>
    <t>90° 20' 40.173 E</t>
  </si>
  <si>
    <t>90° 21' 15.452 E</t>
  </si>
  <si>
    <t>90° 21' 50.732 E</t>
  </si>
  <si>
    <t>90° 22' 26.011 E</t>
  </si>
  <si>
    <t>90° 23' 1.292 E</t>
  </si>
  <si>
    <t>90° 23' 36.572 E</t>
  </si>
  <si>
    <t>90° 24' 11.853 E</t>
  </si>
  <si>
    <t>90° 24' 47.134 E</t>
  </si>
  <si>
    <t>90° 25' 22.416 E</t>
  </si>
  <si>
    <t>90° 25' 57.698 E</t>
  </si>
  <si>
    <t>90° 26' 32.980 E</t>
  </si>
  <si>
    <t>90° 27' 8.262 E</t>
  </si>
  <si>
    <t>90° 27' 43.545 E</t>
  </si>
  <si>
    <t>90° 28' 18.828 E</t>
  </si>
  <si>
    <t>90° 28' 54.111 E</t>
  </si>
  <si>
    <t>90° 29' 29.395 E</t>
  </si>
  <si>
    <t>90° 30' 4.679 E</t>
  </si>
  <si>
    <t>90° 30' 39.963 E</t>
  </si>
  <si>
    <t>90° 20' 4.233 E</t>
  </si>
  <si>
    <t>90° 20' 39.514 E</t>
  </si>
  <si>
    <t>90° 21' 14.796 E</t>
  </si>
  <si>
    <t>90° 21' 50.078 E</t>
  </si>
  <si>
    <t>90° 22' 25.360 E</t>
  </si>
  <si>
    <t>90° 23' 0.643 E</t>
  </si>
  <si>
    <t>90° 23' 35.926 E</t>
  </si>
  <si>
    <t>90° 24' 11.209 E</t>
  </si>
  <si>
    <t>90° 24' 46.493 E</t>
  </si>
  <si>
    <t>90° 25' 21.777 E</t>
  </si>
  <si>
    <t>90° 25' 57.061 E</t>
  </si>
  <si>
    <t>90° 26' 32.346 E</t>
  </si>
  <si>
    <t>90° 27' 7.631 E</t>
  </si>
  <si>
    <t>90° 27' 42.916 E</t>
  </si>
  <si>
    <t>90° 28' 18.201 E</t>
  </si>
  <si>
    <t>90° 28' 53.487 E</t>
  </si>
  <si>
    <t>90° 29' 28.773 E</t>
  </si>
  <si>
    <t>90° 30' 4.060 E</t>
  </si>
  <si>
    <t>90° 30' 39.346 E</t>
  </si>
  <si>
    <t>90° 20' 3.572 E</t>
  </si>
  <si>
    <t>90° 20' 38.856 E</t>
  </si>
  <si>
    <t>90° 21' 14.140 E</t>
  </si>
  <si>
    <t>90° 21' 49.424 E</t>
  </si>
  <si>
    <t>90° 22' 24.709 E</t>
  </si>
  <si>
    <t>90° 23' 0.000 E</t>
  </si>
  <si>
    <t>90° 23' 35.280 E</t>
  </si>
  <si>
    <t>90° 24' 10.565 E</t>
  </si>
  <si>
    <t>90° 24' 45.851 E</t>
  </si>
  <si>
    <t>90° 25' 21.138 E</t>
  </si>
  <si>
    <t>90° 25' 56.424 E</t>
  </si>
  <si>
    <t>90° 26' 31.711 E</t>
  </si>
  <si>
    <t>90° 27' 6.999 E</t>
  </si>
  <si>
    <t>90° 27' 42.286 E</t>
  </si>
  <si>
    <t>90° 28' 17.574 E</t>
  </si>
  <si>
    <t>90° 28' 52.862 E</t>
  </si>
  <si>
    <t>90° 29' 28.151 E</t>
  </si>
  <si>
    <t>90° 30' 3.440 E</t>
  </si>
  <si>
    <t>90° 30' 38.729 E</t>
  </si>
  <si>
    <t>90° 20' 2.911 E</t>
  </si>
  <si>
    <t>90° 20' 38.197 E</t>
  </si>
  <si>
    <t>90° 21' 13.483 E</t>
  </si>
  <si>
    <t>90° 21' 48.770 E</t>
  </si>
  <si>
    <t>90° 22' 24.057 E</t>
  </si>
  <si>
    <t>90° 22' 59.345 E</t>
  </si>
  <si>
    <t>90° 23' 34.633 E</t>
  </si>
  <si>
    <t>90° 24' 9.921 E</t>
  </si>
  <si>
    <t>90° 24' 45.209 E</t>
  </si>
  <si>
    <t>90° 25' 20.498 E</t>
  </si>
  <si>
    <t>90° 25' 55.787 E</t>
  </si>
  <si>
    <t>90° 26' 31.077 E</t>
  </si>
  <si>
    <t>90° 27' 6.366 E</t>
  </si>
  <si>
    <t>90° 27' 41.656 E</t>
  </si>
  <si>
    <t>90° 28' 16.947 E</t>
  </si>
  <si>
    <t>90° 28' 52.237 E</t>
  </si>
  <si>
    <t>90° 29' 27.528 E</t>
  </si>
  <si>
    <t>90° 30' 2.820 E</t>
  </si>
  <si>
    <t>90° 30' 38.111 E</t>
  </si>
  <si>
    <t>90° 20' 2.249 E</t>
  </si>
  <si>
    <t>90° 20' 37.538 E</t>
  </si>
  <si>
    <t>90° 21' 12.827 E</t>
  </si>
  <si>
    <t>90° 21' 48.116 E</t>
  </si>
  <si>
    <t>90° 22' 23.405 E</t>
  </si>
  <si>
    <t>90° 22' 58.695 E</t>
  </si>
  <si>
    <t>90° 23' 33.986 E</t>
  </si>
  <si>
    <t>90° 24' 9.276 E</t>
  </si>
  <si>
    <t>90° 24' 44.567 E</t>
  </si>
  <si>
    <t>90° 25' 19.858 E</t>
  </si>
  <si>
    <t>90° 25' 55.150 E</t>
  </si>
  <si>
    <t>90° 26' 30.442 E</t>
  </si>
  <si>
    <t>90° 27' 5.734 E</t>
  </si>
  <si>
    <t>90° 27' 41.026 E</t>
  </si>
  <si>
    <t>90° 28' 16.319 E</t>
  </si>
  <si>
    <t>90° 28' 51.612 E</t>
  </si>
  <si>
    <t>90° 29' 26.906 E</t>
  </si>
  <si>
    <t>90° 30' 2.199 E</t>
  </si>
  <si>
    <t>90° 30' 37.493 E</t>
  </si>
  <si>
    <t>90° 20' 1.587 E</t>
  </si>
  <si>
    <t>90° 20' 36.878 E</t>
  </si>
  <si>
    <t>90° 21' 12.169 E</t>
  </si>
  <si>
    <t>90° 21' 47.461 E</t>
  </si>
  <si>
    <t>90° 22' 22.753 E</t>
  </si>
  <si>
    <t>90° 22' 58.046 E</t>
  </si>
  <si>
    <t>90° 23' 33.338 E</t>
  </si>
  <si>
    <t>90° 24' 8.631 E</t>
  </si>
  <si>
    <t>90° 24' 43.925 E</t>
  </si>
  <si>
    <t>90° 25' 19.218 E</t>
  </si>
  <si>
    <t>90° 25' 54.512 E</t>
  </si>
  <si>
    <t>90° 26' 29.806 E</t>
  </si>
  <si>
    <t>90° 27' 5.101 E</t>
  </si>
  <si>
    <t>90° 27' 40.396 E</t>
  </si>
  <si>
    <t>90° 28' 15.691 E</t>
  </si>
  <si>
    <t>90° 28' 50.987 E</t>
  </si>
  <si>
    <t>90° 29' 26.282 E</t>
  </si>
  <si>
    <t>90° 30' 1.579 E</t>
  </si>
  <si>
    <t>90° 30' 36.875 E</t>
  </si>
  <si>
    <t>90° 20' 0.925 E</t>
  </si>
  <si>
    <t>90° 20' 36.218 E</t>
  </si>
  <si>
    <t>90° 21' 11.512 E</t>
  </si>
  <si>
    <t>90° 21' 46.806 E</t>
  </si>
  <si>
    <t>90° 22' 22.101 E</t>
  </si>
  <si>
    <t>90° 22' 57.395 E</t>
  </si>
  <si>
    <t>90° 23' 32.690 E</t>
  </si>
  <si>
    <t>90° 24' 7.986 E</t>
  </si>
  <si>
    <t>90° 24' 43.282 E</t>
  </si>
  <si>
    <t>90° 25' 18.578 E</t>
  </si>
  <si>
    <t>90° 25' 53.874 E</t>
  </si>
  <si>
    <t>90° 26' 29.171 E</t>
  </si>
  <si>
    <t>90° 27' 4.468 E</t>
  </si>
  <si>
    <t>90° 27' 39.765 E</t>
  </si>
  <si>
    <t>90° 28' 15.063 E</t>
  </si>
  <si>
    <t>90° 28' 50.361 E</t>
  </si>
  <si>
    <t>90° 29' 25.659 E</t>
  </si>
  <si>
    <t>90° 30' 0.957 E</t>
  </si>
  <si>
    <t>90° 30' 36.256 E</t>
  </si>
  <si>
    <t>90° 20' 0.262 E</t>
  </si>
  <si>
    <t>90° 20' 35.558 E</t>
  </si>
  <si>
    <t>90° 21' 10.854 E</t>
  </si>
  <si>
    <t>90° 21' 46.151 E</t>
  </si>
  <si>
    <t>90° 22' 21.448 E</t>
  </si>
  <si>
    <t>90° 22' 56.745 E</t>
  </si>
  <si>
    <t>90° 23' 32.042 E</t>
  </si>
  <si>
    <t>90° 24' 7.340 E</t>
  </si>
  <si>
    <t>90° 24' 42.638 E</t>
  </si>
  <si>
    <t>90° 25' 17.937 E</t>
  </si>
  <si>
    <t>90° 25' 53.236 E</t>
  </si>
  <si>
    <t>90° 26' 28.535 E</t>
  </si>
  <si>
    <t>90° 27' 3.834 E</t>
  </si>
  <si>
    <t>90° 27' 39.134 E</t>
  </si>
  <si>
    <t>90° 28' 14.434 E</t>
  </si>
  <si>
    <t>90° 28' 49.734 E</t>
  </si>
  <si>
    <t>90° 29' 25.035 E</t>
  </si>
  <si>
    <t>90° 30' 0.336 E</t>
  </si>
  <si>
    <t>90° 30' 35.637 E</t>
  </si>
  <si>
    <t>90° 19' 59.599 E</t>
  </si>
  <si>
    <t>90° 20' 34.897 E</t>
  </si>
  <si>
    <t>90° 21' 10.196 E</t>
  </si>
  <si>
    <t>90° 21' 45.495 E</t>
  </si>
  <si>
    <t>90° 22' 20.794 E</t>
  </si>
  <si>
    <t>90° 22' 56.094 E</t>
  </si>
  <si>
    <t>90° 23' 31.394 E</t>
  </si>
  <si>
    <t>90° 24' 6.694 E</t>
  </si>
  <si>
    <t>90° 24' 41.995 E</t>
  </si>
  <si>
    <t>90° 25' 17.296 E</t>
  </si>
  <si>
    <t>90° 25' 52.597 E</t>
  </si>
  <si>
    <t>90° 26' 27.899 E</t>
  </si>
  <si>
    <t>90° 27' 3.200 E</t>
  </si>
  <si>
    <t>90° 27' 38.503 E</t>
  </si>
  <si>
    <t>90° 28' 13.805 E</t>
  </si>
  <si>
    <t>90° 28' 49.108 E</t>
  </si>
  <si>
    <t>90° 29' 24.411 E</t>
  </si>
  <si>
    <t>90° 29' 59.714 E</t>
  </si>
  <si>
    <t>90° 30' 35.018 E</t>
  </si>
  <si>
    <t>90° 19' 58.936 E</t>
  </si>
  <si>
    <t>90° 20' 34.237 E</t>
  </si>
  <si>
    <t>90° 21' 9.538 E</t>
  </si>
  <si>
    <t>90° 21' 44.839 E</t>
  </si>
  <si>
    <t>90° 22' 20.141 E</t>
  </si>
  <si>
    <t>90° 22' 55.443 E</t>
  </si>
  <si>
    <t>90° 23' 30.745 E</t>
  </si>
  <si>
    <t>90° 24' 6.048 E</t>
  </si>
  <si>
    <t>90° 24' 41.351 E</t>
  </si>
  <si>
    <t>90° 25' 16.654 E</t>
  </si>
  <si>
    <t>90° 25' 51.958 E</t>
  </si>
  <si>
    <t>90° 26' 27.262 E</t>
  </si>
  <si>
    <t>90° 27' 2.566 E</t>
  </si>
  <si>
    <t>90° 27' 37.871 E</t>
  </si>
  <si>
    <t>90° 28' 13.176 E</t>
  </si>
  <si>
    <t>90° 28' 48.481 E</t>
  </si>
  <si>
    <t>90° 29' 23.787 E</t>
  </si>
  <si>
    <t>90° 29' 59.093 E</t>
  </si>
  <si>
    <t>90° 30' 34.399 E</t>
  </si>
  <si>
    <t>90° 19' 58.272 E</t>
  </si>
  <si>
    <t>90° 20' 33.575 E</t>
  </si>
  <si>
    <t>90° 21' 8.879 E</t>
  </si>
  <si>
    <t>90° 21' 44.183 E</t>
  </si>
  <si>
    <t>90° 22' 19.487 E</t>
  </si>
  <si>
    <t>90° 22' 54.791 E</t>
  </si>
  <si>
    <t>90° 23' 30.096 E</t>
  </si>
  <si>
    <t>90° 24' 5.401 E</t>
  </si>
  <si>
    <t>90° 24' 40.707 E</t>
  </si>
  <si>
    <t>90° 25' 16.013 E</t>
  </si>
  <si>
    <t>90° 25' 51.319 E</t>
  </si>
  <si>
    <t>90° 26' 26.625 E</t>
  </si>
  <si>
    <t>90° 27' 1.932 E</t>
  </si>
  <si>
    <t>90° 27' 37.239 E</t>
  </si>
  <si>
    <t>90° 28' 12.546 E</t>
  </si>
  <si>
    <t>90° 28' 47.854 E</t>
  </si>
  <si>
    <t>90° 29' 23.162 E</t>
  </si>
  <si>
    <t>90° 29' 58.470 E</t>
  </si>
  <si>
    <t>90° 30' 33.779 E</t>
  </si>
  <si>
    <t>90° 19' 57.608 E</t>
  </si>
  <si>
    <t>90° 20' 32.914 E</t>
  </si>
  <si>
    <t>90° 21' 8.220 E</t>
  </si>
  <si>
    <t>90° 21' 43.526 E</t>
  </si>
  <si>
    <t>90° 22' 18.833 E</t>
  </si>
  <si>
    <t>90° 22' 54.140 E</t>
  </si>
  <si>
    <t>90° 23' 29.447 E</t>
  </si>
  <si>
    <t>90° 24' 4.754 E</t>
  </si>
  <si>
    <t>90° 24' 40.062 E</t>
  </si>
  <si>
    <t>90° 25' 15.371 E</t>
  </si>
  <si>
    <t>90° 25' 50.679 E</t>
  </si>
  <si>
    <t>90° 26' 25.988 E</t>
  </si>
  <si>
    <t>90° 27' 1.297 E</t>
  </si>
  <si>
    <t>90° 27' 36.607 E</t>
  </si>
  <si>
    <t>90° 28' 11.916 E</t>
  </si>
  <si>
    <t>90° 28' 47.226 E</t>
  </si>
  <si>
    <t>90° 29' 22.537 E</t>
  </si>
  <si>
    <t>90° 29' 57.848 E</t>
  </si>
  <si>
    <t>90° 30' 33.159 E</t>
  </si>
  <si>
    <t>90° 19' 56.944 E</t>
  </si>
  <si>
    <t>90° 20' 32.252 E</t>
  </si>
  <si>
    <t>90° 21' 7.560 E</t>
  </si>
  <si>
    <t>90° 21' 42.869 E</t>
  </si>
  <si>
    <t>90° 22' 18.178 E</t>
  </si>
  <si>
    <t>90° 22' 53.487 E</t>
  </si>
  <si>
    <t>90° 23' 28.797 E</t>
  </si>
  <si>
    <t>90° 24' 4.107 E</t>
  </si>
  <si>
    <t>90° 24' 39.417 E</t>
  </si>
  <si>
    <t>90° 25' 14.728 E</t>
  </si>
  <si>
    <t>90° 25' 50.039 E</t>
  </si>
  <si>
    <t>90° 26' 25.350 E</t>
  </si>
  <si>
    <t>90° 27' 0.662 E</t>
  </si>
  <si>
    <t>90° 27' 35.974 E</t>
  </si>
  <si>
    <t>90° 28' 11.286 E</t>
  </si>
  <si>
    <t>90° 28' 46.599 E</t>
  </si>
  <si>
    <t>90° 29' 21.912 E</t>
  </si>
  <si>
    <t>90° 29' 57.225 E</t>
  </si>
  <si>
    <t>90° 30' 32.538 E</t>
  </si>
  <si>
    <t>90° 19' 56.279 E</t>
  </si>
  <si>
    <t>90° 20' 31.590 E</t>
  </si>
  <si>
    <t>90° 21' 6.901 E</t>
  </si>
  <si>
    <t>90° 21' 42.212 E</t>
  </si>
  <si>
    <t>90° 22' 17.523 E</t>
  </si>
  <si>
    <t>90° 22' 52.835 E</t>
  </si>
  <si>
    <t>90° 23' 28.147 E</t>
  </si>
  <si>
    <t>90° 24' 3.460 E</t>
  </si>
  <si>
    <t>90° 24' 38.772 E</t>
  </si>
  <si>
    <t>90° 25' 14.085 E</t>
  </si>
  <si>
    <t>90° 25' 49.399 E</t>
  </si>
  <si>
    <t>90° 26' 24.713 E</t>
  </si>
  <si>
    <t>90° 27' 0.027 E</t>
  </si>
  <si>
    <t>90° 27' 35.341 E</t>
  </si>
  <si>
    <t>90° 28' 10.656 E</t>
  </si>
  <si>
    <t>90° 28' 45.971 E</t>
  </si>
  <si>
    <t>90° 29' 21.286 E</t>
  </si>
  <si>
    <t>90° 29' 56.602 E</t>
  </si>
  <si>
    <t>90° 30' 31.917 E</t>
  </si>
  <si>
    <t>90° 19' 55.614 E</t>
  </si>
  <si>
    <t>90° 20' 30.927 E</t>
  </si>
  <si>
    <t>90° 21' 6.240 E</t>
  </si>
  <si>
    <t>90° 21' 41.554 E</t>
  </si>
  <si>
    <t>90° 22' 16.868 E</t>
  </si>
  <si>
    <t>90° 22' 52.182 E</t>
  </si>
  <si>
    <t>90° 23' 27.497 E</t>
  </si>
  <si>
    <t>90° 24' 2.812 E</t>
  </si>
  <si>
    <t>90° 24' 38.127 E</t>
  </si>
  <si>
    <t>90° 25' 13.442 E</t>
  </si>
  <si>
    <t>90° 25' 48.758 E</t>
  </si>
  <si>
    <t>90° 26' 24.074 E</t>
  </si>
  <si>
    <t>90° 26' 59.391 E</t>
  </si>
  <si>
    <t>90° 27' 34.708 E</t>
  </si>
  <si>
    <t>90° 28' 10.025 E</t>
  </si>
  <si>
    <t>90° 28' 45.342 E</t>
  </si>
  <si>
    <t>90° 29' 20.660 E</t>
  </si>
  <si>
    <t>90° 29' 55.978 E</t>
  </si>
  <si>
    <t>90° 30' 31.296 E</t>
  </si>
  <si>
    <t>90° 19' 54.949 E</t>
  </si>
  <si>
    <t>90° 20' 30.264 E</t>
  </si>
  <si>
    <t>90° 21' 5.580 E</t>
  </si>
  <si>
    <t>90° 21' 40.896 E</t>
  </si>
  <si>
    <t>90° 22' 16.212 E</t>
  </si>
  <si>
    <t>90° 22' 51.529 E</t>
  </si>
  <si>
    <t>90° 23' 26.846 E</t>
  </si>
  <si>
    <t>90° 24' 2.163 E</t>
  </si>
  <si>
    <t>90° 24' 37.481 E</t>
  </si>
  <si>
    <t>90° 25' 12.799 E</t>
  </si>
  <si>
    <t>90° 25' 48.117 E</t>
  </si>
  <si>
    <t>90° 26' 23.436 E</t>
  </si>
  <si>
    <t>90° 26' 58.755 E</t>
  </si>
  <si>
    <t>90° 27' 34.074 E</t>
  </si>
  <si>
    <t>90° 28' 9.394 E</t>
  </si>
  <si>
    <t>90° 28' 44.714 E</t>
  </si>
  <si>
    <t>90° 29' 20.034 E</t>
  </si>
  <si>
    <t>90° 29' 55.354 E</t>
  </si>
  <si>
    <t>90° 30' 30.675 E</t>
  </si>
  <si>
    <t>90° 19' 54.283 E</t>
  </si>
  <si>
    <t>90° 20' 29.601 E</t>
  </si>
  <si>
    <t>90° 21' 4.919 E</t>
  </si>
  <si>
    <t>90° 21' 40.238 E</t>
  </si>
  <si>
    <t>90° 22' 15.557 E</t>
  </si>
  <si>
    <t>90° 22' 50.876 E</t>
  </si>
  <si>
    <t>90° 23' 26.195 E</t>
  </si>
  <si>
    <t>90° 24' 1.515 E</t>
  </si>
  <si>
    <t>90° 24' 36.835 E</t>
  </si>
  <si>
    <t>90° 25' 12.155 E</t>
  </si>
  <si>
    <t>90° 25' 47.476 E</t>
  </si>
  <si>
    <t>90° 26' 22.797 E</t>
  </si>
  <si>
    <t>90° 26' 58.119 E</t>
  </si>
  <si>
    <t>90° 27' 33.440 E</t>
  </si>
  <si>
    <t>90° 28' 8.762 E</t>
  </si>
  <si>
    <t>90° 28' 44.085 E</t>
  </si>
  <si>
    <t>90° 29' 19.407 E</t>
  </si>
  <si>
    <t>90° 29' 54.730 E</t>
  </si>
  <si>
    <t>90° 30' 30.053 E</t>
  </si>
  <si>
    <t>90° 19' 53.617 E</t>
  </si>
  <si>
    <t>90° 20' 28.938 E</t>
  </si>
  <si>
    <t>90° 21' 4.258 E</t>
  </si>
  <si>
    <t>90° 21' 39.579 E</t>
  </si>
  <si>
    <t>90° 22' 14.900 E</t>
  </si>
  <si>
    <t>90° 22' 50.222 E</t>
  </si>
  <si>
    <t>90° 23' 25.544 E</t>
  </si>
  <si>
    <t>90° 24' 0.866 E</t>
  </si>
  <si>
    <t>90° 24' 36.189 E</t>
  </si>
  <si>
    <t>90° 25' 11.511 E</t>
  </si>
  <si>
    <t>90° 25' 46.835 E</t>
  </si>
  <si>
    <t>90° 26' 22.158 E</t>
  </si>
  <si>
    <t>90° 26' 57.482 E</t>
  </si>
  <si>
    <t>90° 27' 32.806 E</t>
  </si>
  <si>
    <t>90° 28' 8.131 E</t>
  </si>
  <si>
    <t>90° 28' 43.455 E</t>
  </si>
  <si>
    <t>90° 29' 18.780 E</t>
  </si>
  <si>
    <t>90° 29' 54.106 E</t>
  </si>
  <si>
    <t>90° 30' 29.431 E</t>
  </si>
  <si>
    <t>90° 19' 52.951 E</t>
  </si>
  <si>
    <t>90° 20' 28.274 E</t>
  </si>
  <si>
    <t>90° 21' 3.597 E</t>
  </si>
  <si>
    <t>90° 21' 38.920 E</t>
  </si>
  <si>
    <t>90° 22' 14.244 E</t>
  </si>
  <si>
    <t>90° 22' 49.568 E</t>
  </si>
  <si>
    <t>90° 23' 24.892 E</t>
  </si>
  <si>
    <t>90° 24' 0.217 E</t>
  </si>
  <si>
    <t>90° 24' 35.542 E</t>
  </si>
  <si>
    <t>90° 25' 10.867 E</t>
  </si>
  <si>
    <t>90° 25' 46.193 E</t>
  </si>
  <si>
    <t>90° 26' 21.519 E</t>
  </si>
  <si>
    <t>90° 26' 56.845 E</t>
  </si>
  <si>
    <t>90° 27' 32.172 E</t>
  </si>
  <si>
    <t>90° 28' 7.498 E</t>
  </si>
  <si>
    <t>90° 28' 42.826 E</t>
  </si>
  <si>
    <t>90° 29' 18.153 E</t>
  </si>
  <si>
    <t>90° 29' 53.481 E</t>
  </si>
  <si>
    <t>90° 30' 28.809 E</t>
  </si>
  <si>
    <t>90° 19' 52.284 E</t>
  </si>
  <si>
    <t>90° 20' 27.610 E</t>
  </si>
  <si>
    <t>90° 21' 2.935 E</t>
  </si>
  <si>
    <t>90° 21' 38.261 E</t>
  </si>
  <si>
    <t>90° 22' 13.587 E</t>
  </si>
  <si>
    <t>90° 22' 48.914 E</t>
  </si>
  <si>
    <t>90° 23' 24.240 E</t>
  </si>
  <si>
    <t>90° 23' 59.567 E</t>
  </si>
  <si>
    <t>90° 24' 34.895 E</t>
  </si>
  <si>
    <t>90° 25' 10.223 E</t>
  </si>
  <si>
    <t>90° 25' 45.551 E</t>
  </si>
  <si>
    <t>90° 26' 20.879 E</t>
  </si>
  <si>
    <t>90° 26' 56.208 E</t>
  </si>
  <si>
    <t>90° 27' 31.537 E</t>
  </si>
  <si>
    <t>90° 28' 6.866 E</t>
  </si>
  <si>
    <t>90° 28' 42.196 E</t>
  </si>
  <si>
    <t>90° 29' 17.526 E</t>
  </si>
  <si>
    <t>90° 29' 52.856 E</t>
  </si>
  <si>
    <t>90° 30' 28.186 E</t>
  </si>
  <si>
    <t>90° 19' 51.618 E</t>
  </si>
  <si>
    <t>90° 20' 26.945 E</t>
  </si>
  <si>
    <t>90° 21' 2.273 E</t>
  </si>
  <si>
    <t>90° 21' 37.601 E</t>
  </si>
  <si>
    <t>90° 22' 12.930 E</t>
  </si>
  <si>
    <t>90° 22' 48.259 E</t>
  </si>
  <si>
    <t>90° 23' 23.588 E</t>
  </si>
  <si>
    <t>90° 23' 58.918 E</t>
  </si>
  <si>
    <t>90° 24' 34.247 E</t>
  </si>
  <si>
    <t>90° 25' 9.578 E</t>
  </si>
  <si>
    <t>90° 25' 44.908 E</t>
  </si>
  <si>
    <t>90° 26' 20.239 E</t>
  </si>
  <si>
    <t>90° 26' 55.570 E</t>
  </si>
  <si>
    <t>90° 27' 30.902 E</t>
  </si>
  <si>
    <t>90° 28' 6.233 E</t>
  </si>
  <si>
    <t>90° 28' 41.565 E</t>
  </si>
  <si>
    <t>90° 29' 16.898 E</t>
  </si>
  <si>
    <t>90° 29' 52.231 E</t>
  </si>
  <si>
    <t>90° 30' 27.564 E</t>
  </si>
  <si>
    <t>23- 40- 13.104 N</t>
  </si>
  <si>
    <t>23- 40- 13.709 N</t>
  </si>
  <si>
    <t>23- 40- 14.313 N</t>
  </si>
  <si>
    <t>23- 40- 14.914 N</t>
  </si>
  <si>
    <t>23- 40- 15.513 N</t>
  </si>
  <si>
    <t>23- 40- 16.110 N</t>
  </si>
  <si>
    <t>23- 40- 16.705 N</t>
  </si>
  <si>
    <t>23- 40- 17.297 N</t>
  </si>
  <si>
    <t>23- 40- 17.887 N</t>
  </si>
  <si>
    <t>23- 40- 18.475 N</t>
  </si>
  <si>
    <t>23- 40- 19.061 N</t>
  </si>
  <si>
    <t>23- 40- 19.644 N</t>
  </si>
  <si>
    <t>23- 40- 20.226 N</t>
  </si>
  <si>
    <t>23- 40- 20.805 N</t>
  </si>
  <si>
    <t>23- 40- 21.382 N</t>
  </si>
  <si>
    <t>23- 40- 21.956 N</t>
  </si>
  <si>
    <t>23- 40- 22.529 N</t>
  </si>
  <si>
    <t>23- 40- 23.099 N</t>
  </si>
  <si>
    <t>23- 40- 23.667 N</t>
  </si>
  <si>
    <t>23- 40- 45.586 N</t>
  </si>
  <si>
    <t>23- 40- 46.192 N</t>
  </si>
  <si>
    <t>23- 40- 46.796 N</t>
  </si>
  <si>
    <t>23- 40- 47.397 N</t>
  </si>
  <si>
    <t>23- 40- 47.997 N</t>
  </si>
  <si>
    <t>23- 40- 48.594 N</t>
  </si>
  <si>
    <t>23- 40- 49.189 N</t>
  </si>
  <si>
    <t>23- 40- 49.781 N</t>
  </si>
  <si>
    <t>23- 40- 50.372 N</t>
  </si>
  <si>
    <t>23- 40- 50.960 N</t>
  </si>
  <si>
    <t>23- 40- 51.546 N</t>
  </si>
  <si>
    <t>23- 40- 52.130 N</t>
  </si>
  <si>
    <t>23- 40- 52.711 N</t>
  </si>
  <si>
    <t>23- 40- 53.290 N</t>
  </si>
  <si>
    <t>23- 40- 53.867 N</t>
  </si>
  <si>
    <t>23- 40- 54.442 N</t>
  </si>
  <si>
    <t>23- 40- 55.015 N</t>
  </si>
  <si>
    <t>23- 40- 55.585 N</t>
  </si>
  <si>
    <t>23- 40- 56.153 N</t>
  </si>
  <si>
    <t>23- 41- 18.068 N</t>
  </si>
  <si>
    <t>23- 41- 18.674 N</t>
  </si>
  <si>
    <t>23- 41- 19.278 N</t>
  </si>
  <si>
    <t>23- 41- 19.880 N</t>
  </si>
  <si>
    <t>23- 41- 20.480 N</t>
  </si>
  <si>
    <t>23- 41- 21.077 N</t>
  </si>
  <si>
    <t>23- 41- 21.672 N</t>
  </si>
  <si>
    <t>23- 41- 22.265 N</t>
  </si>
  <si>
    <t>23- 41- 22.856 N</t>
  </si>
  <si>
    <t>23- 41- 23.444 N</t>
  </si>
  <si>
    <t>23- 41- 24.031 N</t>
  </si>
  <si>
    <t>23- 41- 24.615 N</t>
  </si>
  <si>
    <t>23- 41- 25.196 N</t>
  </si>
  <si>
    <t>23- 41- 25.776 N</t>
  </si>
  <si>
    <t>23- 41- 26.353 N</t>
  </si>
  <si>
    <t>23- 41- 26.928 N</t>
  </si>
  <si>
    <t>23- 41- 27.501 N</t>
  </si>
  <si>
    <t>23- 41- 28.072 N</t>
  </si>
  <si>
    <t>23- 41- 28.640 N</t>
  </si>
  <si>
    <t>23- 41- 50.550 N</t>
  </si>
  <si>
    <t>23- 41- 51.157 N</t>
  </si>
  <si>
    <t>23- 41- 51.761 N</t>
  </si>
  <si>
    <t>23- 41- 52.363 N</t>
  </si>
  <si>
    <t>23- 41- 52.963 N</t>
  </si>
  <si>
    <t>23- 41- 53.561 N</t>
  </si>
  <si>
    <t>23- 41- 54.156 N</t>
  </si>
  <si>
    <t>23- 41- 54.749 N</t>
  </si>
  <si>
    <t>23- 41- 55.340 N</t>
  </si>
  <si>
    <t>23- 41- 55.929 N</t>
  </si>
  <si>
    <t>23- 41- 56.515 N</t>
  </si>
  <si>
    <t>23- 41- 57.100 N</t>
  </si>
  <si>
    <t>23- 41- 57.682 N</t>
  </si>
  <si>
    <t>23- 41- 58.261 N</t>
  </si>
  <si>
    <t>23- 41- 58.839 N</t>
  </si>
  <si>
    <t>23- 41- 59.414 N</t>
  </si>
  <si>
    <t>23- 41- 59.987 N</t>
  </si>
  <si>
    <t>23- 42- 0.558 N</t>
  </si>
  <si>
    <t>23- 42- 1.127 N</t>
  </si>
  <si>
    <t>23- 42- 23.032 N</t>
  </si>
  <si>
    <t>23- 42- 23.639 N</t>
  </si>
  <si>
    <t>23- 42- 24.244 N</t>
  </si>
  <si>
    <t>23- 42- 24.846 N</t>
  </si>
  <si>
    <t>23- 42- 25.446 N</t>
  </si>
  <si>
    <t>23- 42- 26.044 N</t>
  </si>
  <si>
    <t>23- 42- 26.640 N</t>
  </si>
  <si>
    <t>23- 42- 27.233 N</t>
  </si>
  <si>
    <t>23- 42- 27.824 N</t>
  </si>
  <si>
    <t>23- 42- 28.413 N</t>
  </si>
  <si>
    <t>23- 42- 29.000 N</t>
  </si>
  <si>
    <t>23- 42- 29.585 N</t>
  </si>
  <si>
    <t>23- 42- 30.167 N</t>
  </si>
  <si>
    <t>23- 42- 30.747 N</t>
  </si>
  <si>
    <t>23- 42- 31.325 N</t>
  </si>
  <si>
    <t>23- 42- 31.900 N</t>
  </si>
  <si>
    <t>23- 42- 32.474 N</t>
  </si>
  <si>
    <t>23- 42- 33.045 N</t>
  </si>
  <si>
    <t>23- 42- 33.614 N</t>
  </si>
  <si>
    <t>23- 42- 55.515 N</t>
  </si>
  <si>
    <t>23- 42- 56.122 N</t>
  </si>
  <si>
    <t>23- 42- 56.726 N</t>
  </si>
  <si>
    <t>23- 42- 57.329 N</t>
  </si>
  <si>
    <t>23- 42- 57.929 N</t>
  </si>
  <si>
    <t>23- 42- 58.528 N</t>
  </si>
  <si>
    <t>23- 42- 59.123 N</t>
  </si>
  <si>
    <t>23- 42- 59.717 N</t>
  </si>
  <si>
    <t>23- 43- 0.309 N</t>
  </si>
  <si>
    <t>23- 43- 0.898 N</t>
  </si>
  <si>
    <t>23- 43- 1.485 N</t>
  </si>
  <si>
    <t>23- 43- 2.069 N</t>
  </si>
  <si>
    <t>23- 43- 2.652 N</t>
  </si>
  <si>
    <t>23- 43- 3.232 N</t>
  </si>
  <si>
    <t>23- 43- 3.810 N</t>
  </si>
  <si>
    <t>23- 43- 4.386 N</t>
  </si>
  <si>
    <t>23- 43- 4.960 N</t>
  </si>
  <si>
    <t>23- 43- 5.531 N</t>
  </si>
  <si>
    <t>23- 43- 6.100 N</t>
  </si>
  <si>
    <t>23- 43- 27.997 N</t>
  </si>
  <si>
    <t>23- 43- 28.604 N</t>
  </si>
  <si>
    <t>23- 43- 29.209 N</t>
  </si>
  <si>
    <t>23- 43- 29.812 N</t>
  </si>
  <si>
    <t>23- 43- 30.413 N</t>
  </si>
  <si>
    <t>23- 43- 31.011 N</t>
  </si>
  <si>
    <t>23- 43- 31.607 N</t>
  </si>
  <si>
    <t>23- 43- 32.201 N</t>
  </si>
  <si>
    <t>23- 43- 32.793 N</t>
  </si>
  <si>
    <t>23- 43- 33.382 N</t>
  </si>
  <si>
    <t>23- 43- 33.969 N</t>
  </si>
  <si>
    <t>23- 43- 34.554 N</t>
  </si>
  <si>
    <t>23- 43- 35.137 N</t>
  </si>
  <si>
    <t>23- 43- 35.718 N</t>
  </si>
  <si>
    <t>23- 43- 36.296 N</t>
  </si>
  <si>
    <t>23- 43- 36.872 N</t>
  </si>
  <si>
    <t>23- 43- 37.446 N</t>
  </si>
  <si>
    <t>23- 43- 38.017 N</t>
  </si>
  <si>
    <t>23- 43- 38.587 N</t>
  </si>
  <si>
    <t>23- 44- 0.479 N</t>
  </si>
  <si>
    <t>23- 44- 1.086 N</t>
  </si>
  <si>
    <t>23- 44- 1.692 N</t>
  </si>
  <si>
    <t>23- 44- 2.295 N</t>
  </si>
  <si>
    <t>23- 44- 2.896 N</t>
  </si>
  <si>
    <t>23- 44- 3.494 N</t>
  </si>
  <si>
    <t>23- 44- 4.091 N</t>
  </si>
  <si>
    <t>23- 44- 4.685 N</t>
  </si>
  <si>
    <t>23- 44- 5.277 N</t>
  </si>
  <si>
    <t>23- 44- 5.866 N</t>
  </si>
  <si>
    <t>23- 44- 6.454 N</t>
  </si>
  <si>
    <t>23- 44- 7.039 N</t>
  </si>
  <si>
    <t>23- 44- 7.622 N</t>
  </si>
  <si>
    <t>23- 44- 8.203 N</t>
  </si>
  <si>
    <t>23- 44- 8.781 N</t>
  </si>
  <si>
    <t>23- 44- 9.358 N</t>
  </si>
  <si>
    <t>23- 44- 9.932 N</t>
  </si>
  <si>
    <t>23- 44- 10.504 N</t>
  </si>
  <si>
    <t>23- 44- 11.073 N</t>
  </si>
  <si>
    <t>23- 44- 32.961 N</t>
  </si>
  <si>
    <t>23- 44- 33.569 N</t>
  </si>
  <si>
    <t>23- 44- 34.174 N</t>
  </si>
  <si>
    <t>23- 44- 34.777 N</t>
  </si>
  <si>
    <t>23- 44- 35.379 N</t>
  </si>
  <si>
    <t>23- 44- 35.977 N</t>
  </si>
  <si>
    <t>23- 44- 36.574 N</t>
  </si>
  <si>
    <t>23- 44- 37.169 N</t>
  </si>
  <si>
    <t>23- 44- 37.761 N</t>
  </si>
  <si>
    <t>23- 44- 38.351 N</t>
  </si>
  <si>
    <t>23- 44- 38.938 N</t>
  </si>
  <si>
    <t>23- 44- 39.524 N</t>
  </si>
  <si>
    <t>23- 44- 40.107 N</t>
  </si>
  <si>
    <t>23- 44- 40.688 N</t>
  </si>
  <si>
    <t>23- 44- 41.267 N</t>
  </si>
  <si>
    <t>23- 44- 41.844 N</t>
  </si>
  <si>
    <t>23- 44- 42.418 N</t>
  </si>
  <si>
    <t>23- 44- 42.990 N</t>
  </si>
  <si>
    <t>23- 44- 43.560 N</t>
  </si>
  <si>
    <t>23- 45- 5.443 N</t>
  </si>
  <si>
    <t>23- 45- 6.051 N</t>
  </si>
  <si>
    <t>23- 45- 6.657 N</t>
  </si>
  <si>
    <t>23- 45- 7.260 N</t>
  </si>
  <si>
    <t>23- 45- 7.862 N</t>
  </si>
  <si>
    <t>23- 45- 8.461 N</t>
  </si>
  <si>
    <t>23- 45- 9.058 N</t>
  </si>
  <si>
    <t>23- 45- 9.652 N</t>
  </si>
  <si>
    <t>23- 45- 10.245 N</t>
  </si>
  <si>
    <t>23- 45- 10.835 N</t>
  </si>
  <si>
    <t>23- 45- 11.423 N</t>
  </si>
  <si>
    <t>23- 45- 12.009 N</t>
  </si>
  <si>
    <t>23- 45- 12.592 N</t>
  </si>
  <si>
    <t>23- 45- 13.173 N</t>
  </si>
  <si>
    <t>23- 45- 13.752 N</t>
  </si>
  <si>
    <t>23- 45- 14.329 N</t>
  </si>
  <si>
    <t>23- 45- 14.904 N</t>
  </si>
  <si>
    <t>23- 45- 15.476 N</t>
  </si>
  <si>
    <t>23- 45- 16.046 N</t>
  </si>
  <si>
    <t>23- 45- 37.925 N</t>
  </si>
  <si>
    <t>23- 45- 38.533 N</t>
  </si>
  <si>
    <t>23- 45- 39.139 N</t>
  </si>
  <si>
    <t>23- 45- 39.743 N</t>
  </si>
  <si>
    <t>23- 45- 40.344 N</t>
  </si>
  <si>
    <t>23- 45- 40.944 N</t>
  </si>
  <si>
    <t>23- 45- 41.541 N</t>
  </si>
  <si>
    <t>23- 45- 42.136 N</t>
  </si>
  <si>
    <t>23- 45- 42.729 N</t>
  </si>
  <si>
    <t>23- 45- 43.319 N</t>
  </si>
  <si>
    <t>23- 45- 43.907 N</t>
  </si>
  <si>
    <t>23- 45- 44.493 N</t>
  </si>
  <si>
    <t>23- 45- 45.077 N</t>
  </si>
  <si>
    <t>23- 45- 45.659 N</t>
  </si>
  <si>
    <t>23- 45- 46.238 N</t>
  </si>
  <si>
    <t>23- 45- 46.815 N</t>
  </si>
  <si>
    <t>23- 45- 47.390 N</t>
  </si>
  <si>
    <t>23- 45- 47.962 N</t>
  </si>
  <si>
    <t>23- 45- 48.533 N</t>
  </si>
  <si>
    <t>23- 46- 10.406 N</t>
  </si>
  <si>
    <t>23- 46- 11.015 N</t>
  </si>
  <si>
    <t>23- 46- 11.621 N</t>
  </si>
  <si>
    <t>23- 46- 12.225 N</t>
  </si>
  <si>
    <t>23- 46- 12.827 N</t>
  </si>
  <si>
    <t>23- 46- 13.427 N</t>
  </si>
  <si>
    <t>23- 46- 14.024 N</t>
  </si>
  <si>
    <t>23- 46- 14.620 N</t>
  </si>
  <si>
    <t>23- 46- 15.213 N</t>
  </si>
  <si>
    <t>23- 46- 15.803 N</t>
  </si>
  <si>
    <t>23- 46- 16.392 N</t>
  </si>
  <si>
    <t>23- 46- 16.978 N</t>
  </si>
  <si>
    <t>23- 46- 17.562 N</t>
  </si>
  <si>
    <t>23- 46- 18.144 N</t>
  </si>
  <si>
    <t>23- 46- 18.723 N</t>
  </si>
  <si>
    <t>23- 46- 19.301 N</t>
  </si>
  <si>
    <t>23- 46- 19.876 N</t>
  </si>
  <si>
    <t>23- 46- 20.448 N</t>
  </si>
  <si>
    <t>23- 46- 21.019 N</t>
  </si>
  <si>
    <t>23- 46- 42.888 N</t>
  </si>
  <si>
    <t>23- 46- 43.497 N</t>
  </si>
  <si>
    <t>23- 46- 44.104 N</t>
  </si>
  <si>
    <t>23- 46- 44.708 N</t>
  </si>
  <si>
    <t>23- 46- 45.310 N</t>
  </si>
  <si>
    <t>23- 46- 45.910 N</t>
  </si>
  <si>
    <t>23- 46- 46.508 N</t>
  </si>
  <si>
    <t>23- 46- 47.103 N</t>
  </si>
  <si>
    <t>23- 46- 47.696 N</t>
  </si>
  <si>
    <t>23- 46- 48.287 N</t>
  </si>
  <si>
    <t>23- 46- 48.876 N</t>
  </si>
  <si>
    <t>23- 46- 49.463 N</t>
  </si>
  <si>
    <t>23- 46- 50.047 N</t>
  </si>
  <si>
    <t>23- 46- 50.629 N</t>
  </si>
  <si>
    <t>23- 46- 51.209 N</t>
  </si>
  <si>
    <t>23- 46- 51.786 N</t>
  </si>
  <si>
    <t>23- 46- 52.362 N</t>
  </si>
  <si>
    <t>23- 46- 52.935 N</t>
  </si>
  <si>
    <t>23- 46- 53.505 N</t>
  </si>
  <si>
    <t>23- 47- 15.370 N</t>
  </si>
  <si>
    <t>23- 47- 15.979 N</t>
  </si>
  <si>
    <t>23- 47- 16.586 N</t>
  </si>
  <si>
    <t>23- 47- 17.191 N</t>
  </si>
  <si>
    <t>23- 47- 17.793 N</t>
  </si>
  <si>
    <t>23- 47- 18.393 N</t>
  </si>
  <si>
    <t>23- 47- 18.991 N</t>
  </si>
  <si>
    <t>23- 47- 19.587 N</t>
  </si>
  <si>
    <t>23- 47- 20.180 N</t>
  </si>
  <si>
    <t>23- 47- 20.771 N</t>
  </si>
  <si>
    <t>23- 47- 21.360 N</t>
  </si>
  <si>
    <t>23- 47- 21.947 N</t>
  </si>
  <si>
    <t>23- 47- 22.532 N</t>
  </si>
  <si>
    <t>23- 47- 23.114 N</t>
  </si>
  <si>
    <t>23- 47- 23.694 N</t>
  </si>
  <si>
    <t>23- 47- 24.272 N</t>
  </si>
  <si>
    <t>23- 47- 24.847 N</t>
  </si>
  <si>
    <t>23- 47- 25.421 N</t>
  </si>
  <si>
    <t>23- 47- 25.992 N</t>
  </si>
  <si>
    <t>23- 47- 47.852 N</t>
  </si>
  <si>
    <t>23- 47- 48.461 N</t>
  </si>
  <si>
    <t>23- 47- 49.068 N</t>
  </si>
  <si>
    <t>23- 47- 49.673 N</t>
  </si>
  <si>
    <t>23- 47- 50.276 N</t>
  </si>
  <si>
    <t>23- 47- 50.876 N</t>
  </si>
  <si>
    <t>23- 47- 51.474 N</t>
  </si>
  <si>
    <t>23- 47- 52.070 N</t>
  </si>
  <si>
    <t>23- 47- 52.664 N</t>
  </si>
  <si>
    <t>23- 47- 53.256 N</t>
  </si>
  <si>
    <t>23- 47- 53.845 N</t>
  </si>
  <si>
    <t>23- 47- 54.432 N</t>
  </si>
  <si>
    <t>23- 47- 55.016 N</t>
  </si>
  <si>
    <t>23- 47- 55.599 N</t>
  </si>
  <si>
    <t>23- 47- 56.179 N</t>
  </si>
  <si>
    <t>23- 47- 56.757 N</t>
  </si>
  <si>
    <t>23- 47- 57.333 N</t>
  </si>
  <si>
    <t>23- 47- 57.907 N</t>
  </si>
  <si>
    <t>23- 47- 58.478 N</t>
  </si>
  <si>
    <t>23- 48- 20.333 N</t>
  </si>
  <si>
    <t>23- 48- 20.943 N</t>
  </si>
  <si>
    <t>23- 48- 21.550 N</t>
  </si>
  <si>
    <t>23- 48- 22.156 N</t>
  </si>
  <si>
    <t>23- 48- 22.759 N</t>
  </si>
  <si>
    <t>23- 48- 23.359 N</t>
  </si>
  <si>
    <t>23- 48- 23.958 N</t>
  </si>
  <si>
    <t>23- 48- 24.554 N</t>
  </si>
  <si>
    <t>23- 48- 25.148 N</t>
  </si>
  <si>
    <t>23- 48- 25.740 N</t>
  </si>
  <si>
    <t>23- 48- 26.329 N</t>
  </si>
  <si>
    <t>23- 48- 26.916 N</t>
  </si>
  <si>
    <t>23- 48- 27.501 N</t>
  </si>
  <si>
    <t>23- 48- 28.084 N</t>
  </si>
  <si>
    <t>23- 48- 28.664 N</t>
  </si>
  <si>
    <t>23- 48- 29.243 N</t>
  </si>
  <si>
    <t>23- 48- 29.819 N</t>
  </si>
  <si>
    <t>23- 48- 30.393 N</t>
  </si>
  <si>
    <t>23- 48- 30.964 N</t>
  </si>
  <si>
    <t>23- 48- 52.815 N</t>
  </si>
  <si>
    <t>23- 48- 53.425 N</t>
  </si>
  <si>
    <t>23- 48- 54.033 N</t>
  </si>
  <si>
    <t>23- 48- 54.638 N</t>
  </si>
  <si>
    <t>23- 48- 55.241 N</t>
  </si>
  <si>
    <t>23- 48- 55.842 N</t>
  </si>
  <si>
    <t>23- 48- 56.441 N</t>
  </si>
  <si>
    <t>23- 48- 57.037 N</t>
  </si>
  <si>
    <t>23- 48- 57.631 N</t>
  </si>
  <si>
    <t>23- 48- 58.223 N</t>
  </si>
  <si>
    <t>23- 48- 58.813 N</t>
  </si>
  <si>
    <t>23- 48- 59.401 N</t>
  </si>
  <si>
    <t>23- 48- 59.986 N</t>
  </si>
  <si>
    <t>23- 49- 0.569 N</t>
  </si>
  <si>
    <t>23- 49- 1.150 N</t>
  </si>
  <si>
    <t>23- 49- 1.728 N</t>
  </si>
  <si>
    <t>23- 49- 2.304 N</t>
  </si>
  <si>
    <t>23- 49- 2.879 N</t>
  </si>
  <si>
    <t>23- 49- 3.450 N</t>
  </si>
  <si>
    <t>23- 49- 25.297 N</t>
  </si>
  <si>
    <t>23- 49- 25.907 N</t>
  </si>
  <si>
    <t>23- 49- 26.515 N</t>
  </si>
  <si>
    <t>23- 49- 27.120 N</t>
  </si>
  <si>
    <t>23- 49- 27.724 N</t>
  </si>
  <si>
    <t>23- 49- 28.325 N</t>
  </si>
  <si>
    <t>23- 49- 28.924 N</t>
  </si>
  <si>
    <t>23- 49- 29.521 N</t>
  </si>
  <si>
    <t>23- 49- 30.115 N</t>
  </si>
  <si>
    <t>23- 49- 30.707 N</t>
  </si>
  <si>
    <t>23- 49- 31.297 N</t>
  </si>
  <si>
    <t>23- 49- 31.885 N</t>
  </si>
  <si>
    <t>23- 49- 32.471 N</t>
  </si>
  <si>
    <t>23- 49- 33.054 N</t>
  </si>
  <si>
    <t>23- 49- 33.635 N</t>
  </si>
  <si>
    <t>23- 49- 34.214 N</t>
  </si>
  <si>
    <t>23- 49- 34.790 N</t>
  </si>
  <si>
    <t>23- 49- 35.364 N</t>
  </si>
  <si>
    <t>23- 49- 35.936 N</t>
  </si>
  <si>
    <t>23- 49- 57.778 N</t>
  </si>
  <si>
    <t>23- 49- 58.389 N</t>
  </si>
  <si>
    <t>23- 49- 58.997 N</t>
  </si>
  <si>
    <t>23- 49- 59.603 N</t>
  </si>
  <si>
    <t>23- 50- 0.206 N</t>
  </si>
  <si>
    <t>23- 50- 0.808 N</t>
  </si>
  <si>
    <t>23- 50- 1.407 N</t>
  </si>
  <si>
    <t>23- 50- 2.004 N</t>
  </si>
  <si>
    <t>23- 50- 2.599 N</t>
  </si>
  <si>
    <t>23- 50- 3.191 N</t>
  </si>
  <si>
    <t>23- 50- 3.781 N</t>
  </si>
  <si>
    <t>23- 50- 4.369 N</t>
  </si>
  <si>
    <t>23- 50- 4.955 N</t>
  </si>
  <si>
    <t>23- 50- 5.539 N</t>
  </si>
  <si>
    <t>23- 50- 6.120 N</t>
  </si>
  <si>
    <t>23- 50- 6.699 N</t>
  </si>
  <si>
    <t>23- 50- 7.276 N</t>
  </si>
  <si>
    <t>23- 50- 7.850 N</t>
  </si>
  <si>
    <t>23- 50- 8.422 N</t>
  </si>
  <si>
    <t>23- 50- 30.260 N</t>
  </si>
  <si>
    <t>23- 50- 30.870 N</t>
  </si>
  <si>
    <t>23- 50- 31.479 N</t>
  </si>
  <si>
    <t>23- 50- 32.085 N</t>
  </si>
  <si>
    <t>23- 50- 32.689 N</t>
  </si>
  <si>
    <t>23- 50- 33.291 N</t>
  </si>
  <si>
    <t>23- 50- 33.890 N</t>
  </si>
  <si>
    <t>23- 50- 34.487 N</t>
  </si>
  <si>
    <t>23- 50- 35.082 N</t>
  </si>
  <si>
    <t>23- 50- 35.675 N</t>
  </si>
  <si>
    <t>23- 50- 36.266 N</t>
  </si>
  <si>
    <t>23- 50- 36.854 N</t>
  </si>
  <si>
    <t>23- 50- 37.440 N</t>
  </si>
  <si>
    <t>23- 50- 38.023 N</t>
  </si>
  <si>
    <t>23- 50- 38.605 N</t>
  </si>
  <si>
    <t>23- 50- 39.184 N</t>
  </si>
  <si>
    <t>23- 50- 39.761 N</t>
  </si>
  <si>
    <t>23- 50- 40.336 N</t>
  </si>
  <si>
    <t>23- 50- 40.909 N</t>
  </si>
  <si>
    <t>23- 51- 2.741 N</t>
  </si>
  <si>
    <t>23- 51- 3.352 N</t>
  </si>
  <si>
    <t>23- 51- 3.961 N</t>
  </si>
  <si>
    <t>23- 51- 4.567 N</t>
  </si>
  <si>
    <t>23- 51- 5.171 N</t>
  </si>
  <si>
    <t>23- 51- 5.773 N</t>
  </si>
  <si>
    <t>23- 51- 6.373 N</t>
  </si>
  <si>
    <t>23- 51- 6.971 N</t>
  </si>
  <si>
    <t>23- 51- 7.566 N</t>
  </si>
  <si>
    <t>23- 51- 8.159 N</t>
  </si>
  <si>
    <t>23- 51- 8.750 N</t>
  </si>
  <si>
    <t>23- 51- 9.338 N</t>
  </si>
  <si>
    <t>23- 51- 9.924 N</t>
  </si>
  <si>
    <t>23- 51- 10.508 N</t>
  </si>
  <si>
    <t>23- 51- 11.090 N</t>
  </si>
  <si>
    <t>23- 51- 11.669 N</t>
  </si>
  <si>
    <t>23- 51- 12.247 N</t>
  </si>
  <si>
    <t>23- 51- 12.822 N</t>
  </si>
  <si>
    <t>23- 51- 13.395 N</t>
  </si>
  <si>
    <t>23- 51- 35.223 N</t>
  </si>
  <si>
    <t>23- 51- 35.834 N</t>
  </si>
  <si>
    <t>23- 51- 36.443 N</t>
  </si>
  <si>
    <t>23- 51- 37.049 N</t>
  </si>
  <si>
    <t>23- 51- 37.654 N</t>
  </si>
  <si>
    <t>23- 51- 38.256 N</t>
  </si>
  <si>
    <t>23- 51- 38.856 N</t>
  </si>
  <si>
    <t>23- 51- 39.454 N</t>
  </si>
  <si>
    <t>23- 51- 40.049 N</t>
  </si>
  <si>
    <t>23- 51- 40.643 N</t>
  </si>
  <si>
    <t>23- 51- 41.234 N</t>
  </si>
  <si>
    <t>23- 51- 41.822 N</t>
  </si>
  <si>
    <t>23- 51- 42.409 N</t>
  </si>
  <si>
    <t>23- 51- 42.993 N</t>
  </si>
  <si>
    <t>23- 51- 43.575 N</t>
  </si>
  <si>
    <t>23- 51- 44.155 N</t>
  </si>
  <si>
    <t>23- 51- 44.732 N</t>
  </si>
  <si>
    <t>23- 51- 45.307 N</t>
  </si>
  <si>
    <t>23- 51- 45.880 N</t>
  </si>
  <si>
    <t>23- 52- 7.704 N</t>
  </si>
  <si>
    <t>23- 52- 8.315 N</t>
  </si>
  <si>
    <t>23- 52- 8.925 N</t>
  </si>
  <si>
    <t>23- 52- 9.532 N</t>
  </si>
  <si>
    <t>23- 52- 10.136 N</t>
  </si>
  <si>
    <t>23- 52- 10.739 N</t>
  </si>
  <si>
    <t>23- 52- 11.339 N</t>
  </si>
  <si>
    <t>23- 52- 11.937 N</t>
  </si>
  <si>
    <t>23- 52- 12.533 N</t>
  </si>
  <si>
    <t>23- 52- 13.126 N</t>
  </si>
  <si>
    <t>23- 52- 13.717 N</t>
  </si>
  <si>
    <t>23- 52- 14.306 N</t>
  </si>
  <si>
    <t>23- 52- 14.893 N</t>
  </si>
  <si>
    <t>23- 52- 15.478 N</t>
  </si>
  <si>
    <t>23- 52- 16.060 N</t>
  </si>
  <si>
    <t>23- 52- 16.640 N</t>
  </si>
  <si>
    <t>23- 52- 17.218 N</t>
  </si>
  <si>
    <t>23- 52- 17.793 N</t>
  </si>
  <si>
    <t>23- 52- 18.366 N</t>
  </si>
  <si>
    <t>23- 52- 40.185 N</t>
  </si>
  <si>
    <t>23- 52- 40.797 N</t>
  </si>
  <si>
    <t>23- 52- 41.407 N</t>
  </si>
  <si>
    <t>23- 52- 42.014 N</t>
  </si>
  <si>
    <t>23- 52- 42.619 N</t>
  </si>
  <si>
    <t>23- 52- 43.221 N</t>
  </si>
  <si>
    <t>23- 52- 43.822 N</t>
  </si>
  <si>
    <t>23- 52- 44.420 N</t>
  </si>
  <si>
    <t>23- 52- 45.016 N</t>
  </si>
  <si>
    <t>23- 52- 45.610 N</t>
  </si>
  <si>
    <t>23- 52- 46.201 N</t>
  </si>
  <si>
    <t>23- 52- 46.791 N</t>
  </si>
  <si>
    <t>23- 52- 47.378 N</t>
  </si>
  <si>
    <t>23- 52- 47.962 N</t>
  </si>
  <si>
    <t>23- 52- 48.545 N</t>
  </si>
  <si>
    <t>23- 52- 49.125 N</t>
  </si>
  <si>
    <t>23- 52- 49.703 N</t>
  </si>
  <si>
    <t>23- 52- 50.279 N</t>
  </si>
  <si>
    <t>23- 52- 50.852 N</t>
  </si>
  <si>
    <t>23- 53- 12.667 N</t>
  </si>
  <si>
    <t>23- 53- 13.279 N</t>
  </si>
  <si>
    <t>23- 53- 13.888 N</t>
  </si>
  <si>
    <t>23- 53- 14.496 N</t>
  </si>
  <si>
    <t>23- 53- 15.101 N</t>
  </si>
  <si>
    <t>23- 53- 15.704 N</t>
  </si>
  <si>
    <t>23- 53- 16.305 N</t>
  </si>
  <si>
    <t>23- 53- 16.903 N</t>
  </si>
  <si>
    <t>23- 53- 17.499 N</t>
  </si>
  <si>
    <t>23- 53- 18.093 N</t>
  </si>
  <si>
    <t>23- 53- 18.685 N</t>
  </si>
  <si>
    <t>23- 53- 19.275 N</t>
  </si>
  <si>
    <t>23- 53- 19.862 N</t>
  </si>
  <si>
    <t>23- 53- 20.447 N</t>
  </si>
  <si>
    <t>23- 53- 21.030 N</t>
  </si>
  <si>
    <t>23- 53- 21.610 N</t>
  </si>
  <si>
    <t>23- 53- 22.188 N</t>
  </si>
  <si>
    <t>23- 53- 22.764 N</t>
  </si>
  <si>
    <t>23- 53- 23.338 N</t>
  </si>
  <si>
    <t>23- 53- 45.148 N</t>
  </si>
  <si>
    <t>23- 53- 45.760 N</t>
  </si>
  <si>
    <t>23- 53- 46.370 N</t>
  </si>
  <si>
    <t>23- 53- 46.978 N</t>
  </si>
  <si>
    <t>23- 53- 47.583 N</t>
  </si>
  <si>
    <t>23- 53- 48.187 N</t>
  </si>
  <si>
    <t>23- 53- 48.788 N</t>
  </si>
  <si>
    <t>23- 53- 49.386 N</t>
  </si>
  <si>
    <t>23- 53- 49.983 N</t>
  </si>
  <si>
    <t>23- 53- 50.577 N</t>
  </si>
  <si>
    <t>23- 53- 51.169 N</t>
  </si>
  <si>
    <t>23- 53- 51.759 N</t>
  </si>
  <si>
    <t>23- 53- 52.346 N</t>
  </si>
  <si>
    <t>23- 53- 52.931 N</t>
  </si>
  <si>
    <t>23- 53- 53.514 N</t>
  </si>
  <si>
    <t>23- 53- 54.095 N</t>
  </si>
  <si>
    <t>23- 53- 54.674 N</t>
  </si>
  <si>
    <t>23- 53- 55.250 N</t>
  </si>
  <si>
    <t>23- 53- 55.824 N</t>
  </si>
  <si>
    <t>90- 20- 8.192 E</t>
  </si>
  <si>
    <t>90- 20- 43.459 E</t>
  </si>
  <si>
    <t>90- 21- 18.726 E</t>
  </si>
  <si>
    <t>90- 21- 53.994 E</t>
  </si>
  <si>
    <t>90- 22- 29.262 E</t>
  </si>
  <si>
    <t>90- 23- 4.530 E</t>
  </si>
  <si>
    <t>90- 23- 39.798 E</t>
  </si>
  <si>
    <t>90- 24- 15.067 E</t>
  </si>
  <si>
    <t>90- 24- 50.336 E</t>
  </si>
  <si>
    <t>90- 25- 25.605 E</t>
  </si>
  <si>
    <t>90- 26- 0.875 E</t>
  </si>
  <si>
    <t>90- 26- 36.145 E</t>
  </si>
  <si>
    <t>90- 27- 11.416 E</t>
  </si>
  <si>
    <t>90- 27- 46.686 E</t>
  </si>
  <si>
    <t>90- 28- 21.957 E</t>
  </si>
  <si>
    <t>90- 28- 57.228 E</t>
  </si>
  <si>
    <t>90- 29- 32.500 E</t>
  </si>
  <si>
    <t>90- 30- 7.772 E</t>
  </si>
  <si>
    <t>90- 30- 43.044 E</t>
  </si>
  <si>
    <t>90- 20- 7.533 E</t>
  </si>
  <si>
    <t>90- 20- 42.803 E</t>
  </si>
  <si>
    <t>90- 21- 18.072 E</t>
  </si>
  <si>
    <t>90- 21- 53.342 E</t>
  </si>
  <si>
    <t>90- 22- 28.612 E</t>
  </si>
  <si>
    <t>90- 23- 3.883 E</t>
  </si>
  <si>
    <t>90- 23- 39.154 E</t>
  </si>
  <si>
    <t>90- 24- 14.425 E</t>
  </si>
  <si>
    <t>90- 24- 49.696 E</t>
  </si>
  <si>
    <t>90- 25- 24.968 E</t>
  </si>
  <si>
    <t>90- 26- 0.240 E</t>
  </si>
  <si>
    <t>90- 26- 35.513 E</t>
  </si>
  <si>
    <t>90- 27- 10.786 E</t>
  </si>
  <si>
    <t>90- 27- 46.059 E</t>
  </si>
  <si>
    <t>90- 28- 21.332 E</t>
  </si>
  <si>
    <t>90- 28- 56.606 E</t>
  </si>
  <si>
    <t>90- 29- 31.880 E</t>
  </si>
  <si>
    <t>90- 30- 7.154 E</t>
  </si>
  <si>
    <t>90- 30- 42.429 E</t>
  </si>
  <si>
    <t>90- 20- 6.874 E</t>
  </si>
  <si>
    <t>90- 20- 42.146 E</t>
  </si>
  <si>
    <t>90- 21- 17.418 E</t>
  </si>
  <si>
    <t>90- 21- 52.690 E</t>
  </si>
  <si>
    <t>90- 22- 27.963 E</t>
  </si>
  <si>
    <t>90- 23- 3.235 E</t>
  </si>
  <si>
    <t>90- 23- 38.509 E</t>
  </si>
  <si>
    <t>90- 24- 13.782 E</t>
  </si>
  <si>
    <t>90- 24- 49.056 E</t>
  </si>
  <si>
    <t>90- 25- 24.331 E</t>
  </si>
  <si>
    <t>90- 25- 59.605 E</t>
  </si>
  <si>
    <t>90- 26- 34.880 E</t>
  </si>
  <si>
    <t>90- 27- 10.155 E</t>
  </si>
  <si>
    <t>90- 27- 45.431 E</t>
  </si>
  <si>
    <t>90- 28- 20.706 E</t>
  </si>
  <si>
    <t>90- 28- 55.983 E</t>
  </si>
  <si>
    <t>90- 29- 31.259 E</t>
  </si>
  <si>
    <t>90- 30- 6.536 E</t>
  </si>
  <si>
    <t>90- 30- 41.813 E</t>
  </si>
  <si>
    <t>90- 20- 6.214 E</t>
  </si>
  <si>
    <t>90- 20- 41.488 E</t>
  </si>
  <si>
    <t>90- 21- 16.763 E</t>
  </si>
  <si>
    <t>90- 21- 52.037 E</t>
  </si>
  <si>
    <t>90- 22- 27.312 E</t>
  </si>
  <si>
    <t>90- 23- 2.588 E</t>
  </si>
  <si>
    <t>90- 23- 37.864 E</t>
  </si>
  <si>
    <t>90- 24- 13.140 E</t>
  </si>
  <si>
    <t>90- 24- 48.416 E</t>
  </si>
  <si>
    <t>90- 25- 23.693 E</t>
  </si>
  <si>
    <t>90- 25- 58.970 E</t>
  </si>
  <si>
    <t>90- 26- 34.247 E</t>
  </si>
  <si>
    <t>90- 27- 9.524 E</t>
  </si>
  <si>
    <t>90- 27- 44.802 E</t>
  </si>
  <si>
    <t>90- 28- 20.081 E</t>
  </si>
  <si>
    <t>90- 28- 55.359 E</t>
  </si>
  <si>
    <t>90- 29- 30.638 E</t>
  </si>
  <si>
    <t>90- 30- 5.917 E</t>
  </si>
  <si>
    <t>90- 30- 41.197 E</t>
  </si>
  <si>
    <t>90- 20- 5.554 E</t>
  </si>
  <si>
    <t>90- 20- 40.831 E</t>
  </si>
  <si>
    <t>90- 21- 16.107 E</t>
  </si>
  <si>
    <t>90- 21- 51.385 E</t>
  </si>
  <si>
    <t>90- 22- 26.662 E</t>
  </si>
  <si>
    <t>90- 23- 1.940 E</t>
  </si>
  <si>
    <t>90- 23- 37.218 E</t>
  </si>
  <si>
    <t>90- 24- 12.496 E</t>
  </si>
  <si>
    <t>90- 24- 47.775 E</t>
  </si>
  <si>
    <t>90- 25- 23.054 E</t>
  </si>
  <si>
    <t>90- 25- 58.334 E</t>
  </si>
  <si>
    <t>90- 26- 33.613 E</t>
  </si>
  <si>
    <t>90- 27- 8.893 E</t>
  </si>
  <si>
    <t>90- 27- 44.174 E</t>
  </si>
  <si>
    <t>90- 28- 19.454 E</t>
  </si>
  <si>
    <t>90- 28- 54.735 E</t>
  </si>
  <si>
    <t>90- 29- 30.017 E</t>
  </si>
  <si>
    <t>90- 30- 5.298 E</t>
  </si>
  <si>
    <t>90- 30- 40.580 E</t>
  </si>
  <si>
    <t>90- 20- 4.894 E</t>
  </si>
  <si>
    <t>90- 20- 40.173 E</t>
  </si>
  <si>
    <t>90- 21- 15.452 E</t>
  </si>
  <si>
    <t>90- 21- 50.732 E</t>
  </si>
  <si>
    <t>90- 22- 26.011 E</t>
  </si>
  <si>
    <t>90- 23- 1.292 E</t>
  </si>
  <si>
    <t>90- 23- 36.572 E</t>
  </si>
  <si>
    <t>90- 24- 11.853 E</t>
  </si>
  <si>
    <t>90- 24- 47.134 E</t>
  </si>
  <si>
    <t>90- 25- 22.416 E</t>
  </si>
  <si>
    <t>90- 25- 57.698 E</t>
  </si>
  <si>
    <t>90- 26- 32.980 E</t>
  </si>
  <si>
    <t>90- 27- 8.262 E</t>
  </si>
  <si>
    <t>90- 27- 43.545 E</t>
  </si>
  <si>
    <t>90- 28- 18.828 E</t>
  </si>
  <si>
    <t>90- 28- 54.111 E</t>
  </si>
  <si>
    <t>90- 29- 29.395 E</t>
  </si>
  <si>
    <t>90- 30- 4.679 E</t>
  </si>
  <si>
    <t>90- 30- 39.963 E</t>
  </si>
  <si>
    <t>90- 20- 4.233 E</t>
  </si>
  <si>
    <t>90- 20- 39.514 E</t>
  </si>
  <si>
    <t>90- 21- 14.796 E</t>
  </si>
  <si>
    <t>90- 21- 50.078 E</t>
  </si>
  <si>
    <t>90- 22- 25.360 E</t>
  </si>
  <si>
    <t>90- 23- 0.643 E</t>
  </si>
  <si>
    <t>90- 23- 35.926 E</t>
  </si>
  <si>
    <t>90- 24- 11.209 E</t>
  </si>
  <si>
    <t>90- 24- 46.493 E</t>
  </si>
  <si>
    <t>90- 25- 21.777 E</t>
  </si>
  <si>
    <t>90- 25- 57.061 E</t>
  </si>
  <si>
    <t>90- 26- 32.346 E</t>
  </si>
  <si>
    <t>90- 27- 7.631 E</t>
  </si>
  <si>
    <t>90- 27- 42.916 E</t>
  </si>
  <si>
    <t>90- 28- 18.201 E</t>
  </si>
  <si>
    <t>90- 28- 53.487 E</t>
  </si>
  <si>
    <t>90- 29- 28.773 E</t>
  </si>
  <si>
    <t>90- 30- 4.060 E</t>
  </si>
  <si>
    <t>90- 30- 39.346 E</t>
  </si>
  <si>
    <t>90- 20- 3.572 E</t>
  </si>
  <si>
    <t>90- 20- 38.856 E</t>
  </si>
  <si>
    <t>90- 21- 14.140 E</t>
  </si>
  <si>
    <t>90- 21- 49.424 E</t>
  </si>
  <si>
    <t>90- 22- 24.709 E</t>
  </si>
  <si>
    <t>90- 23- 0.000 E</t>
  </si>
  <si>
    <t>90- 23- 35.280 E</t>
  </si>
  <si>
    <t>90- 24- 10.565 E</t>
  </si>
  <si>
    <t>90- 24- 45.851 E</t>
  </si>
  <si>
    <t>90- 25- 21.138 E</t>
  </si>
  <si>
    <t>90- 25- 56.424 E</t>
  </si>
  <si>
    <t>90- 26- 31.711 E</t>
  </si>
  <si>
    <t>90- 27- 6.999 E</t>
  </si>
  <si>
    <t>90- 27- 42.286 E</t>
  </si>
  <si>
    <t>90- 28- 17.574 E</t>
  </si>
  <si>
    <t>90- 28- 52.862 E</t>
  </si>
  <si>
    <t>90- 29- 28.151 E</t>
  </si>
  <si>
    <t>90- 30- 3.440 E</t>
  </si>
  <si>
    <t>90- 30- 38.729 E</t>
  </si>
  <si>
    <t>90- 20- 2.911 E</t>
  </si>
  <si>
    <t>90- 20- 38.197 E</t>
  </si>
  <si>
    <t>90- 21- 13.483 E</t>
  </si>
  <si>
    <t>90- 21- 48.770 E</t>
  </si>
  <si>
    <t>90- 22- 24.057 E</t>
  </si>
  <si>
    <t>90- 22- 59.345 E</t>
  </si>
  <si>
    <t>90- 23- 34.633 E</t>
  </si>
  <si>
    <t>90- 24- 9.921 E</t>
  </si>
  <si>
    <t>90- 24- 45.209 E</t>
  </si>
  <si>
    <t>90- 25- 20.498 E</t>
  </si>
  <si>
    <t>90- 25- 55.787 E</t>
  </si>
  <si>
    <t>90- 26- 31.077 E</t>
  </si>
  <si>
    <t>90- 27- 6.366 E</t>
  </si>
  <si>
    <t>90- 27- 41.656 E</t>
  </si>
  <si>
    <t>90- 28- 16.947 E</t>
  </si>
  <si>
    <t>90- 28- 52.237 E</t>
  </si>
  <si>
    <t>90- 29- 27.528 E</t>
  </si>
  <si>
    <t>90- 30- 2.820 E</t>
  </si>
  <si>
    <t>90- 30- 38.111 E</t>
  </si>
  <si>
    <t>90- 20- 2.249 E</t>
  </si>
  <si>
    <t>90- 20- 37.538 E</t>
  </si>
  <si>
    <t>90- 21- 12.827 E</t>
  </si>
  <si>
    <t>90- 21- 48.116 E</t>
  </si>
  <si>
    <t>90- 22- 23.405 E</t>
  </si>
  <si>
    <t>90- 22- 58.695 E</t>
  </si>
  <si>
    <t>90- 23- 33.986 E</t>
  </si>
  <si>
    <t>90- 24- 9.276 E</t>
  </si>
  <si>
    <t>90- 24- 44.567 E</t>
  </si>
  <si>
    <t>90- 25- 19.858 E</t>
  </si>
  <si>
    <t>90- 25- 55.150 E</t>
  </si>
  <si>
    <t>90- 26- 30.442 E</t>
  </si>
  <si>
    <t>90- 27- 5.734 E</t>
  </si>
  <si>
    <t>90- 27- 41.026 E</t>
  </si>
  <si>
    <t>90- 28- 16.319 E</t>
  </si>
  <si>
    <t>90- 28- 51.612 E</t>
  </si>
  <si>
    <t>90- 29- 26.906 E</t>
  </si>
  <si>
    <t>90- 30- 2.199 E</t>
  </si>
  <si>
    <t>90- 30- 37.493 E</t>
  </si>
  <si>
    <t>90- 20- 1.587 E</t>
  </si>
  <si>
    <t>90- 20- 36.878 E</t>
  </si>
  <si>
    <t>90- 21- 12.169 E</t>
  </si>
  <si>
    <t>90- 21- 47.461 E</t>
  </si>
  <si>
    <t>90- 22- 22.753 E</t>
  </si>
  <si>
    <t>90- 22- 58.046 E</t>
  </si>
  <si>
    <t>90- 23- 33.338 E</t>
  </si>
  <si>
    <t>90- 24- 8.631 E</t>
  </si>
  <si>
    <t>90- 24- 43.925 E</t>
  </si>
  <si>
    <t>90- 25- 19.218 E</t>
  </si>
  <si>
    <t>90- 25- 54.512 E</t>
  </si>
  <si>
    <t>90- 26- 29.806 E</t>
  </si>
  <si>
    <t>90- 27- 5.101 E</t>
  </si>
  <si>
    <t>90- 27- 40.396 E</t>
  </si>
  <si>
    <t>90- 28- 15.691 E</t>
  </si>
  <si>
    <t>90- 28- 50.987 E</t>
  </si>
  <si>
    <t>90- 29- 26.282 E</t>
  </si>
  <si>
    <t>90- 30- 1.579 E</t>
  </si>
  <si>
    <t>90- 30- 36.875 E</t>
  </si>
  <si>
    <t>90- 20- 0.925 E</t>
  </si>
  <si>
    <t>90- 20- 36.218 E</t>
  </si>
  <si>
    <t>90- 21- 11.512 E</t>
  </si>
  <si>
    <t>90- 21- 46.806 E</t>
  </si>
  <si>
    <t>90- 22- 22.101 E</t>
  </si>
  <si>
    <t>90- 22- 57.395 E</t>
  </si>
  <si>
    <t>90- 23- 32.690 E</t>
  </si>
  <si>
    <t>90- 24- 7.986 E</t>
  </si>
  <si>
    <t>90- 24- 43.282 E</t>
  </si>
  <si>
    <t>90- 25- 18.578 E</t>
  </si>
  <si>
    <t>90- 25- 53.874 E</t>
  </si>
  <si>
    <t>90- 26- 29.171 E</t>
  </si>
  <si>
    <t>90- 27- 4.468 E</t>
  </si>
  <si>
    <t>90- 27- 39.765 E</t>
  </si>
  <si>
    <t>90- 28- 15.063 E</t>
  </si>
  <si>
    <t>90- 28- 50.361 E</t>
  </si>
  <si>
    <t>90- 29- 25.659 E</t>
  </si>
  <si>
    <t>90- 30- 0.957 E</t>
  </si>
  <si>
    <t>90- 30- 36.256 E</t>
  </si>
  <si>
    <t>90- 20- 0.262 E</t>
  </si>
  <si>
    <t>90- 20- 35.558 E</t>
  </si>
  <si>
    <t>90- 21- 10.854 E</t>
  </si>
  <si>
    <t>90- 21- 46.151 E</t>
  </si>
  <si>
    <t>90- 22- 21.448 E</t>
  </si>
  <si>
    <t>90- 22- 56.745 E</t>
  </si>
  <si>
    <t>90- 23- 32.042 E</t>
  </si>
  <si>
    <t>90- 24- 7.340 E</t>
  </si>
  <si>
    <t>90- 24- 42.638 E</t>
  </si>
  <si>
    <t>90- 25- 17.937 E</t>
  </si>
  <si>
    <t>90- 25- 53.236 E</t>
  </si>
  <si>
    <t>90- 26- 28.535 E</t>
  </si>
  <si>
    <t>90- 27- 3.834 E</t>
  </si>
  <si>
    <t>90- 27- 39.134 E</t>
  </si>
  <si>
    <t>90- 28- 14.434 E</t>
  </si>
  <si>
    <t>90- 28- 49.734 E</t>
  </si>
  <si>
    <t>90- 29- 25.035 E</t>
  </si>
  <si>
    <t>90- 30- 0.336 E</t>
  </si>
  <si>
    <t>90- 30- 35.637 E</t>
  </si>
  <si>
    <t>90- 19- 59.599 E</t>
  </si>
  <si>
    <t>90- 20- 34.897 E</t>
  </si>
  <si>
    <t>90- 21- 10.196 E</t>
  </si>
  <si>
    <t>90- 21- 45.495 E</t>
  </si>
  <si>
    <t>90- 22- 20.794 E</t>
  </si>
  <si>
    <t>90- 22- 56.094 E</t>
  </si>
  <si>
    <t>90- 23- 31.394 E</t>
  </si>
  <si>
    <t>90- 24- 6.694 E</t>
  </si>
  <si>
    <t>90- 24- 41.995 E</t>
  </si>
  <si>
    <t>90- 25- 17.296 E</t>
  </si>
  <si>
    <t>90- 25- 52.597 E</t>
  </si>
  <si>
    <t>90- 26- 27.899 E</t>
  </si>
  <si>
    <t>90- 27- 3.200 E</t>
  </si>
  <si>
    <t>90- 27- 38.503 E</t>
  </si>
  <si>
    <t>90- 28- 13.805 E</t>
  </si>
  <si>
    <t>90- 28- 49.108 E</t>
  </si>
  <si>
    <t>90- 29- 24.411 E</t>
  </si>
  <si>
    <t>90- 29- 59.714 E</t>
  </si>
  <si>
    <t>90- 30- 35.018 E</t>
  </si>
  <si>
    <t>90- 19- 58.936 E</t>
  </si>
  <si>
    <t>90- 20- 34.237 E</t>
  </si>
  <si>
    <t>90- 21- 9.538 E</t>
  </si>
  <si>
    <t>90- 21- 44.839 E</t>
  </si>
  <si>
    <t>90- 22- 20.141 E</t>
  </si>
  <si>
    <t>90- 22- 55.443 E</t>
  </si>
  <si>
    <t>90- 23- 30.745 E</t>
  </si>
  <si>
    <t>90- 24- 6.048 E</t>
  </si>
  <si>
    <t>90- 24- 41.351 E</t>
  </si>
  <si>
    <t>90- 25- 16.654 E</t>
  </si>
  <si>
    <t>90- 25- 51.958 E</t>
  </si>
  <si>
    <t>90- 26- 27.262 E</t>
  </si>
  <si>
    <t>90- 27- 2.566 E</t>
  </si>
  <si>
    <t>90- 27- 37.871 E</t>
  </si>
  <si>
    <t>90- 28- 13.176 E</t>
  </si>
  <si>
    <t>90- 28- 48.481 E</t>
  </si>
  <si>
    <t>90- 29- 23.787 E</t>
  </si>
  <si>
    <t>90- 29- 59.093 E</t>
  </si>
  <si>
    <t>90- 30- 34.399 E</t>
  </si>
  <si>
    <t>90- 19- 58.272 E</t>
  </si>
  <si>
    <t>90- 20- 33.575 E</t>
  </si>
  <si>
    <t>90- 21- 8.879 E</t>
  </si>
  <si>
    <t>90- 21- 44.183 E</t>
  </si>
  <si>
    <t>90- 22- 19.487 E</t>
  </si>
  <si>
    <t>90- 22- 54.791 E</t>
  </si>
  <si>
    <t>90- 23- 30.096 E</t>
  </si>
  <si>
    <t>90- 24- 5.401 E</t>
  </si>
  <si>
    <t>90- 24- 40.707 E</t>
  </si>
  <si>
    <t>90- 25- 16.013 E</t>
  </si>
  <si>
    <t>90- 25- 51.319 E</t>
  </si>
  <si>
    <t>90- 26- 26.625 E</t>
  </si>
  <si>
    <t>90- 27- 1.932 E</t>
  </si>
  <si>
    <t>90- 27- 37.239 E</t>
  </si>
  <si>
    <t>90- 28- 12.546 E</t>
  </si>
  <si>
    <t>90- 28- 47.854 E</t>
  </si>
  <si>
    <t>90- 29- 23.162 E</t>
  </si>
  <si>
    <t>90- 29- 58.470 E</t>
  </si>
  <si>
    <t>90- 30- 33.779 E</t>
  </si>
  <si>
    <t>90- 19- 57.608 E</t>
  </si>
  <si>
    <t>90- 20- 32.914 E</t>
  </si>
  <si>
    <t>90- 21- 8.220 E</t>
  </si>
  <si>
    <t>90- 21- 43.526 E</t>
  </si>
  <si>
    <t>90- 22- 18.833 E</t>
  </si>
  <si>
    <t>90- 22- 54.140 E</t>
  </si>
  <si>
    <t>90- 23- 29.447 E</t>
  </si>
  <si>
    <t>90- 24- 4.754 E</t>
  </si>
  <si>
    <t>90- 24- 40.062 E</t>
  </si>
  <si>
    <t>90- 25- 15.371 E</t>
  </si>
  <si>
    <t>90- 25- 50.679 E</t>
  </si>
  <si>
    <t>90- 26- 25.988 E</t>
  </si>
  <si>
    <t>90- 27- 1.297 E</t>
  </si>
  <si>
    <t>90- 27- 36.607 E</t>
  </si>
  <si>
    <t>90- 28- 11.916 E</t>
  </si>
  <si>
    <t>90- 28- 47.226 E</t>
  </si>
  <si>
    <t>90- 29- 22.537 E</t>
  </si>
  <si>
    <t>90- 29- 57.848 E</t>
  </si>
  <si>
    <t>90- 30- 33.159 E</t>
  </si>
  <si>
    <t>90- 19- 56.944 E</t>
  </si>
  <si>
    <t>90- 20- 32.252 E</t>
  </si>
  <si>
    <t>90- 21- 7.560 E</t>
  </si>
  <si>
    <t>90- 21- 42.869 E</t>
  </si>
  <si>
    <t>90- 22- 18.178 E</t>
  </si>
  <si>
    <t>90- 22- 53.487 E</t>
  </si>
  <si>
    <t>90- 23- 28.797 E</t>
  </si>
  <si>
    <t>90- 24- 4.107 E</t>
  </si>
  <si>
    <t>90- 24- 39.417 E</t>
  </si>
  <si>
    <t>90- 25- 14.728 E</t>
  </si>
  <si>
    <t>90- 25- 50.039 E</t>
  </si>
  <si>
    <t>90- 26- 25.350 E</t>
  </si>
  <si>
    <t>90- 27- 0.662 E</t>
  </si>
  <si>
    <t>90- 27- 35.974 E</t>
  </si>
  <si>
    <t>90- 28- 11.286 E</t>
  </si>
  <si>
    <t>90- 28- 46.599 E</t>
  </si>
  <si>
    <t>90- 29- 21.912 E</t>
  </si>
  <si>
    <t>90- 29- 57.225 E</t>
  </si>
  <si>
    <t>90- 30- 32.538 E</t>
  </si>
  <si>
    <t>90- 19- 56.279 E</t>
  </si>
  <si>
    <t>90- 20- 31.590 E</t>
  </si>
  <si>
    <t>90- 21- 6.901 E</t>
  </si>
  <si>
    <t>90- 21- 42.212 E</t>
  </si>
  <si>
    <t>90- 22- 17.523 E</t>
  </si>
  <si>
    <t>90- 22- 52.835 E</t>
  </si>
  <si>
    <t>90- 23- 28.147 E</t>
  </si>
  <si>
    <t>90- 24- 3.460 E</t>
  </si>
  <si>
    <t>90- 24- 38.772 E</t>
  </si>
  <si>
    <t>90- 25- 14.085 E</t>
  </si>
  <si>
    <t>90- 25- 49.399 E</t>
  </si>
  <si>
    <t>90- 26- 24.713 E</t>
  </si>
  <si>
    <t>90- 27- 0.027 E</t>
  </si>
  <si>
    <t>90- 27- 35.341 E</t>
  </si>
  <si>
    <t>90- 28- 10.656 E</t>
  </si>
  <si>
    <t>90- 28- 45.971 E</t>
  </si>
  <si>
    <t>90- 29- 21.286 E</t>
  </si>
  <si>
    <t>90- 29- 56.602 E</t>
  </si>
  <si>
    <t>90- 30- 31.917 E</t>
  </si>
  <si>
    <t>90- 19- 55.614 E</t>
  </si>
  <si>
    <t>90- 20- 30.927 E</t>
  </si>
  <si>
    <t>90- 21- 6.240 E</t>
  </si>
  <si>
    <t>90- 21- 41.554 E</t>
  </si>
  <si>
    <t>90- 22- 16.868 E</t>
  </si>
  <si>
    <t>90- 22- 52.182 E</t>
  </si>
  <si>
    <t>90- 23- 27.497 E</t>
  </si>
  <si>
    <t>90- 24- 2.812 E</t>
  </si>
  <si>
    <t>90- 24- 38.127 E</t>
  </si>
  <si>
    <t>90- 25- 13.442 E</t>
  </si>
  <si>
    <t>90- 25- 48.758 E</t>
  </si>
  <si>
    <t>90- 26- 24.074 E</t>
  </si>
  <si>
    <t>90- 26- 59.391 E</t>
  </si>
  <si>
    <t>90- 27- 34.708 E</t>
  </si>
  <si>
    <t>90- 28- 10.025 E</t>
  </si>
  <si>
    <t>90- 28- 45.342 E</t>
  </si>
  <si>
    <t>90- 29- 20.660 E</t>
  </si>
  <si>
    <t>90- 29- 55.978 E</t>
  </si>
  <si>
    <t>90- 30- 31.296 E</t>
  </si>
  <si>
    <t>90- 19- 54.949 E</t>
  </si>
  <si>
    <t>90- 20- 30.264 E</t>
  </si>
  <si>
    <t>90- 21- 5.580 E</t>
  </si>
  <si>
    <t>90- 21- 40.896 E</t>
  </si>
  <si>
    <t>90- 22- 16.212 E</t>
  </si>
  <si>
    <t>90- 22- 51.529 E</t>
  </si>
  <si>
    <t>90- 23- 26.846 E</t>
  </si>
  <si>
    <t>90- 24- 2.163 E</t>
  </si>
  <si>
    <t>90- 24- 37.481 E</t>
  </si>
  <si>
    <t>90- 25- 12.799 E</t>
  </si>
  <si>
    <t>90- 25- 48.117 E</t>
  </si>
  <si>
    <t>90- 26- 23.436 E</t>
  </si>
  <si>
    <t>90- 26- 58.755 E</t>
  </si>
  <si>
    <t>90- 27- 34.074 E</t>
  </si>
  <si>
    <t>90- 28- 9.394 E</t>
  </si>
  <si>
    <t>90- 28- 44.714 E</t>
  </si>
  <si>
    <t>90- 29- 20.034 E</t>
  </si>
  <si>
    <t>90- 29- 55.354 E</t>
  </si>
  <si>
    <t>90- 30- 30.675 E</t>
  </si>
  <si>
    <t>90- 19- 54.283 E</t>
  </si>
  <si>
    <t>90- 20- 29.601 E</t>
  </si>
  <si>
    <t>90- 21- 4.919 E</t>
  </si>
  <si>
    <t>90- 21- 40.238 E</t>
  </si>
  <si>
    <t>90- 22- 15.557 E</t>
  </si>
  <si>
    <t>90- 22- 50.876 E</t>
  </si>
  <si>
    <t>90- 23- 26.195 E</t>
  </si>
  <si>
    <t>90- 24- 1.515 E</t>
  </si>
  <si>
    <t>90- 24- 36.835 E</t>
  </si>
  <si>
    <t>90- 25- 12.155 E</t>
  </si>
  <si>
    <t>90- 25- 47.476 E</t>
  </si>
  <si>
    <t>90- 26- 22.797 E</t>
  </si>
  <si>
    <t>90- 26- 58.119 E</t>
  </si>
  <si>
    <t>90- 27- 33.440 E</t>
  </si>
  <si>
    <t>90- 28- 8.762 E</t>
  </si>
  <si>
    <t>90- 28- 44.085 E</t>
  </si>
  <si>
    <t>90- 29- 19.407 E</t>
  </si>
  <si>
    <t>90- 29- 54.730 E</t>
  </si>
  <si>
    <t>90- 30- 30.053 E</t>
  </si>
  <si>
    <t>90- 19- 53.617 E</t>
  </si>
  <si>
    <t>90- 20- 28.938 E</t>
  </si>
  <si>
    <t>90- 21- 4.258 E</t>
  </si>
  <si>
    <t>90- 21- 39.579 E</t>
  </si>
  <si>
    <t>90- 22- 14.900 E</t>
  </si>
  <si>
    <t>90- 22- 50.222 E</t>
  </si>
  <si>
    <t>90- 23- 25.544 E</t>
  </si>
  <si>
    <t>90- 24- 0.866 E</t>
  </si>
  <si>
    <t>90- 24- 36.189 E</t>
  </si>
  <si>
    <t>90- 25- 11.511 E</t>
  </si>
  <si>
    <t>90- 25- 46.835 E</t>
  </si>
  <si>
    <t>90- 26- 22.158 E</t>
  </si>
  <si>
    <t>90- 26- 57.482 E</t>
  </si>
  <si>
    <t>90- 27- 32.806 E</t>
  </si>
  <si>
    <t>90- 28- 8.131 E</t>
  </si>
  <si>
    <t>90- 28- 43.455 E</t>
  </si>
  <si>
    <t>90- 29- 18.780 E</t>
  </si>
  <si>
    <t>90- 29- 54.106 E</t>
  </si>
  <si>
    <t>90- 30- 29.431 E</t>
  </si>
  <si>
    <t>90- 19- 52.951 E</t>
  </si>
  <si>
    <t>90- 20- 28.274 E</t>
  </si>
  <si>
    <t>90- 21- 3.597 E</t>
  </si>
  <si>
    <t>90- 21- 38.920 E</t>
  </si>
  <si>
    <t>90- 22- 14.244 E</t>
  </si>
  <si>
    <t>90- 22- 49.568 E</t>
  </si>
  <si>
    <t>90- 23- 24.892 E</t>
  </si>
  <si>
    <t>90- 24- 0.217 E</t>
  </si>
  <si>
    <t>90- 24- 35.542 E</t>
  </si>
  <si>
    <t>90- 25- 10.867 E</t>
  </si>
  <si>
    <t>90- 25- 46.193 E</t>
  </si>
  <si>
    <t>90- 26- 21.519 E</t>
  </si>
  <si>
    <t>90- 26- 56.845 E</t>
  </si>
  <si>
    <t>90- 27- 32.172 E</t>
  </si>
  <si>
    <t>90- 28- 7.498 E</t>
  </si>
  <si>
    <t>90- 28- 42.826 E</t>
  </si>
  <si>
    <t>90- 29- 18.153 E</t>
  </si>
  <si>
    <t>90- 29- 53.481 E</t>
  </si>
  <si>
    <t>90- 30- 28.809 E</t>
  </si>
  <si>
    <t>90- 19- 52.284 E</t>
  </si>
  <si>
    <t>90- 20- 27.610 E</t>
  </si>
  <si>
    <t>90- 21- 2.935 E</t>
  </si>
  <si>
    <t>90- 21- 38.261 E</t>
  </si>
  <si>
    <t>90- 22- 13.587 E</t>
  </si>
  <si>
    <t>90- 22- 48.914 E</t>
  </si>
  <si>
    <t>90- 23- 24.240 E</t>
  </si>
  <si>
    <t>90- 23- 59.567 E</t>
  </si>
  <si>
    <t>90- 24- 34.895 E</t>
  </si>
  <si>
    <t>90- 25- 10.223 E</t>
  </si>
  <si>
    <t>90- 25- 45.551 E</t>
  </si>
  <si>
    <t>90- 26- 20.879 E</t>
  </si>
  <si>
    <t>90- 26- 56.208 E</t>
  </si>
  <si>
    <t>90- 27- 31.537 E</t>
  </si>
  <si>
    <t>90- 28- 6.866 E</t>
  </si>
  <si>
    <t>90- 28- 42.196 E</t>
  </si>
  <si>
    <t>90- 29- 17.526 E</t>
  </si>
  <si>
    <t>90- 29- 52.856 E</t>
  </si>
  <si>
    <t>90- 30- 28.186 E</t>
  </si>
  <si>
    <t>90- 19- 51.618 E</t>
  </si>
  <si>
    <t>90- 20- 26.945 E</t>
  </si>
  <si>
    <t>90- 21- 2.273 E</t>
  </si>
  <si>
    <t>90- 21- 37.601 E</t>
  </si>
  <si>
    <t>90- 22- 12.930 E</t>
  </si>
  <si>
    <t>90- 22- 48.259 E</t>
  </si>
  <si>
    <t>90- 23- 23.588 E</t>
  </si>
  <si>
    <t>90- 23- 58.918 E</t>
  </si>
  <si>
    <t>90- 24- 34.247 E</t>
  </si>
  <si>
    <t>90- 25- 9.578 E</t>
  </si>
  <si>
    <t>90- 25- 44.908 E</t>
  </si>
  <si>
    <t>90- 26- 20.239 E</t>
  </si>
  <si>
    <t>90- 26- 55.570 E</t>
  </si>
  <si>
    <t>90- 27- 30.902 E</t>
  </si>
  <si>
    <t>90- 28- 6.233 E</t>
  </si>
  <si>
    <t>90- 28- 41.565 E</t>
  </si>
  <si>
    <t>90- 29- 16.898 E</t>
  </si>
  <si>
    <t>90- 29- 52.231 E</t>
  </si>
  <si>
    <t>90- 30- 27.564 E</t>
  </si>
  <si>
    <t>23° dd40' mm13.104ss"" N</t>
  </si>
  <si>
    <t>Case Name</t>
  </si>
  <si>
    <t>Degree-Minute-Second</t>
  </si>
  <si>
    <t>Separator</t>
  </si>
  <si>
    <t>AutoExtract</t>
  </si>
  <si>
    <t>rt80   /2 gh 3/35||||  .25368E</t>
  </si>
  <si>
    <t>9r0</t>
  </si>
  <si>
    <t>dg8.  '192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</si>
</sst>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"/>
  </numFmts>
  <fonts count="2" x14ac:knownFonts="1">
    <font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/>
    <xf numFmtId="0" fontId="0" fillId="0" borderId="0" xfId="0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164" fontId="0" fillId="0" borderId="0" xfId="0" applyNumberFormat="1"/>
    <xf numFmtId="0" fontId="0" fillId="5" borderId="0" xfId="0" applyFill="1"/>
    <xf numFmtId="0" fontId="0" fillId="6" borderId="0" xfId="0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zoomScale="102" zoomScaleNormal="102" workbookViewId="0">
      <selection activeCell="B6" sqref="B6:C7"/>
    </sheetView>
  </sheetViews>
  <sheetFormatPr defaultRowHeight="14.4" x14ac:dyDescent="0.3"/>
  <cols>
    <col min="1" max="1" width="6.5546875" style="1" bestFit="1" customWidth="1"/>
    <col min="2" max="2" width="20.5546875" style="1" bestFit="1" customWidth="1"/>
    <col min="3" max="3" width="26.77734375" style="1" bestFit="1" customWidth="1"/>
    <col min="4" max="4" width="8.6640625" style="1" bestFit="1" customWidth="1"/>
    <col min="5" max="5" width="14.44140625" style="1" bestFit="1" customWidth="1"/>
    <col min="6" max="6" width="34.44140625" style="1" bestFit="1" customWidth="1"/>
    <col min="7" max="7" width="65.33203125" style="1" bestFit="1" customWidth="1"/>
    <col min="8" max="16384" width="8.88671875" style="1"/>
  </cols>
  <sheetData>
    <row r="1" spans="1:7" x14ac:dyDescent="0.3">
      <c r="A1" s="6" t="s">
        <v>2</v>
      </c>
      <c r="B1" s="6" t="s">
        <v>2981</v>
      </c>
      <c r="C1" s="6" t="s">
        <v>10</v>
      </c>
      <c r="D1" s="6" t="s">
        <v>0</v>
      </c>
      <c r="E1" s="6" t="s">
        <v>1</v>
      </c>
      <c r="F1" s="6" t="s">
        <v>7</v>
      </c>
      <c r="G1" s="6" t="s">
        <v>5</v>
      </c>
    </row>
    <row r="2" spans="1:7" x14ac:dyDescent="0.3">
      <c r="A2" s="2">
        <v>1</v>
      </c>
      <c r="B2" s="2" t="s">
        <v>2982</v>
      </c>
      <c r="C2" s="3" t="s">
        <v>6</v>
      </c>
      <c r="D2" s="2" t="s">
        <v>9</v>
      </c>
      <c r="E2" s="3" t="s">
        <v>8</v>
      </c>
      <c r="F2" s="3" t="str">
        <f ca="1">_xlfn.FORMULATEXT(G2)</f>
        <v>=DecimalDegreesConverter(C2,D2,E2)</v>
      </c>
      <c r="G2" s="2">
        <f>DecimalDegreesConverter(C2,D2,E2)</f>
        <v>85.208923792305555</v>
      </c>
    </row>
    <row r="3" spans="1:7" x14ac:dyDescent="0.3">
      <c r="A3" s="2">
        <v>2</v>
      </c>
      <c r="B3" s="2" t="s">
        <v>2982</v>
      </c>
      <c r="C3" s="3" t="s">
        <v>3</v>
      </c>
      <c r="D3" s="2"/>
      <c r="E3" s="2">
        <v>41.125652299999999</v>
      </c>
      <c r="F3" s="3" t="str">
        <f t="shared" ref="F3:F7" ca="1" si="0">_xlfn.FORMULATEXT(G3)</f>
        <v>=DecimalDegreesConverter(C3,,E3)</v>
      </c>
      <c r="G3" s="2" t="str">
        <f>DecimalDegreesConverter(C3,,E3)</f>
        <v>Error in calculating decimal degrees! Make sure all input values are number.</v>
      </c>
    </row>
    <row r="4" spans="1:7" x14ac:dyDescent="0.3">
      <c r="A4" s="2">
        <v>3</v>
      </c>
      <c r="B4" s="2" t="s">
        <v>2983</v>
      </c>
      <c r="C4" s="2" t="s">
        <v>2985</v>
      </c>
      <c r="D4" s="2"/>
      <c r="E4" s="2"/>
      <c r="F4" s="3" t="str">
        <f t="shared" ca="1" si="0"/>
        <v>=DecimalDegreesConverter(C4,,,"/")</v>
      </c>
      <c r="G4" s="2">
        <f>DecimalDegreesConverter(C4,,,"/")</f>
        <v>80.393126022222233</v>
      </c>
    </row>
    <row r="5" spans="1:7" x14ac:dyDescent="0.3">
      <c r="A5" s="2">
        <v>4</v>
      </c>
      <c r="B5" s="2" t="s">
        <v>2983</v>
      </c>
      <c r="C5" s="2" t="s">
        <v>4</v>
      </c>
      <c r="D5" s="2"/>
      <c r="E5" s="2"/>
      <c r="F5" s="3" t="str">
        <f ca="1">_xlfn.FORMULATEXT(G5)</f>
        <v>=DecimalDegreesConverter(C5,,,"-")</v>
      </c>
      <c r="G5" s="2">
        <f>DecimalDegreesConverter(C5,,,"-")</f>
        <v>40.393126022222219</v>
      </c>
    </row>
    <row r="6" spans="1:7" x14ac:dyDescent="0.3">
      <c r="A6" s="2">
        <v>5</v>
      </c>
      <c r="B6" s="2" t="s">
        <v>2984</v>
      </c>
      <c r="C6" s="2" t="s">
        <v>2980</v>
      </c>
      <c r="D6" s="2"/>
      <c r="E6" s="2"/>
      <c r="F6" s="3" t="str">
        <f t="shared" ca="1" si="0"/>
        <v>=DecimalDegreesConverter(C6,,,,TRUE)</v>
      </c>
      <c r="G6" s="2">
        <f>DecimalDegreesConverter(C6,,,,TRUE)</f>
        <v>23.670306666666669</v>
      </c>
    </row>
    <row r="7" spans="1:7" x14ac:dyDescent="0.3">
      <c r="A7" s="2">
        <v>6</v>
      </c>
      <c r="B7" s="2" t="s">
        <v>2984</v>
      </c>
      <c r="C7" s="4" t="s">
        <v>11</v>
      </c>
      <c r="D7" s="2"/>
      <c r="E7" s="2"/>
      <c r="F7" s="3" t="str">
        <f t="shared" ca="1" si="0"/>
        <v>=DecimalDegreesConverter(C7,,,,TRUE)</v>
      </c>
      <c r="G7" s="2">
        <f>DecimalDegreesConverter(C7,,,,TRUE)</f>
        <v>90.355201666666659</v>
      </c>
    </row>
    <row r="19" spans="7:7" x14ac:dyDescent="0.3">
      <c r="G19" s="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95"/>
  <sheetViews>
    <sheetView tabSelected="1" workbookViewId="0">
      <selection activeCell="I1" sqref="I1:I1048576"/>
    </sheetView>
  </sheetViews>
  <sheetFormatPr defaultRowHeight="14.4" x14ac:dyDescent="0.3"/>
  <cols>
    <col min="1" max="1" width="14.44140625" bestFit="1" customWidth="1"/>
    <col min="2" max="2" width="11.6640625" bestFit="1" customWidth="1"/>
    <col min="4" max="4" width="14.109375" bestFit="1" customWidth="1"/>
    <col min="5" max="6" width="14.109375" customWidth="1"/>
    <col min="7" max="7" width="23.109375" bestFit="1" customWidth="1"/>
    <col min="8" max="8" width="24.44140625" bestFit="1" customWidth="1"/>
  </cols>
  <sheetData>
    <row r="1" spans="1:8" x14ac:dyDescent="0.3">
      <c r="A1" s="11" t="s">
        <v>13</v>
      </c>
      <c r="B1" s="11"/>
      <c r="C1" s="11"/>
      <c r="D1" s="10" t="s">
        <v>12</v>
      </c>
      <c r="E1" s="10"/>
      <c r="F1" s="10"/>
      <c r="G1" s="9" t="s">
        <v>14</v>
      </c>
      <c r="H1" s="8" t="s">
        <v>15</v>
      </c>
    </row>
    <row r="2" spans="1:8" x14ac:dyDescent="0.3">
      <c r="A2">
        <v>23</v>
      </c>
      <c r="B2">
        <v>40</v>
      </c>
      <c r="C2">
        <v>13.103999999999999</v>
      </c>
      <c r="D2" t="s">
        <v>2986</v>
      </c>
      <c r="E2">
        <v>20</v>
      </c>
      <c r="F2" t="s">
        <v>2987</v>
      </c>
      <c r="G2">
        <f>DecimalDegreesConverter(A2,B2,C2)</f>
        <v>23.670306666666669</v>
      </c>
      <c r="H2">
        <f>DecimalDegreesConverter(D2,E2,F2)</f>
        <v>90.335608888888885</v>
      </c>
    </row>
    <row r="3" spans="1:8" x14ac:dyDescent="0.3">
      <c r="A3">
        <v>23</v>
      </c>
      <c r="B3">
        <v>40</v>
      </c>
      <c r="C3">
        <v>13.709</v>
      </c>
      <c r="D3">
        <v>90</v>
      </c>
      <c r="E3">
        <v>20</v>
      </c>
      <c r="F3">
        <v>43.459000000000003</v>
      </c>
      <c r="G3">
        <f t="shared" ref="G3:G66" si="0">DecimalDegreesConverter(A3,B3,C3)</f>
        <v>23.670474722222224</v>
      </c>
      <c r="H3">
        <f t="shared" ref="H3:H66" si="1">DecimalDegreesConverter(D3,E3,F3)</f>
        <v>90.345405277777772</v>
      </c>
    </row>
    <row r="4" spans="1:8" x14ac:dyDescent="0.3">
      <c r="A4">
        <v>23</v>
      </c>
      <c r="B4">
        <v>40</v>
      </c>
      <c r="C4">
        <v>14.313000000000001</v>
      </c>
      <c r="D4">
        <v>90</v>
      </c>
      <c r="E4">
        <v>21</v>
      </c>
      <c r="F4">
        <v>18.725999999999999</v>
      </c>
      <c r="G4">
        <f t="shared" si="0"/>
        <v>23.6706425</v>
      </c>
      <c r="H4">
        <f t="shared" si="1"/>
        <v>90.355201666666659</v>
      </c>
    </row>
    <row r="5" spans="1:8" x14ac:dyDescent="0.3">
      <c r="A5">
        <v>23</v>
      </c>
      <c r="B5">
        <v>40</v>
      </c>
      <c r="C5">
        <v>14.914</v>
      </c>
      <c r="D5">
        <v>90</v>
      </c>
      <c r="E5">
        <v>21</v>
      </c>
      <c r="F5">
        <v>53.994</v>
      </c>
      <c r="G5">
        <f t="shared" si="0"/>
        <v>23.670809444444444</v>
      </c>
      <c r="H5">
        <f t="shared" si="1"/>
        <v>90.364998333333332</v>
      </c>
    </row>
    <row r="6" spans="1:8" x14ac:dyDescent="0.3">
      <c r="A6">
        <v>23</v>
      </c>
      <c r="B6">
        <v>40</v>
      </c>
      <c r="C6">
        <v>15.513</v>
      </c>
      <c r="D6">
        <v>90</v>
      </c>
      <c r="E6">
        <v>22</v>
      </c>
      <c r="F6">
        <v>29.262</v>
      </c>
      <c r="G6">
        <f t="shared" si="0"/>
        <v>23.670975833333333</v>
      </c>
      <c r="H6">
        <f t="shared" si="1"/>
        <v>90.374794999999992</v>
      </c>
    </row>
    <row r="7" spans="1:8" x14ac:dyDescent="0.3">
      <c r="A7">
        <v>23</v>
      </c>
      <c r="B7">
        <v>40</v>
      </c>
      <c r="C7">
        <v>16.11</v>
      </c>
      <c r="D7">
        <v>90</v>
      </c>
      <c r="E7">
        <v>23</v>
      </c>
      <c r="F7">
        <v>4.53</v>
      </c>
      <c r="G7">
        <f t="shared" si="0"/>
        <v>23.671141666666667</v>
      </c>
      <c r="H7">
        <f t="shared" si="1"/>
        <v>90.38459166666668</v>
      </c>
    </row>
    <row r="8" spans="1:8" x14ac:dyDescent="0.3">
      <c r="A8">
        <v>23</v>
      </c>
      <c r="B8">
        <v>40</v>
      </c>
      <c r="C8">
        <v>16.704999999999998</v>
      </c>
      <c r="D8">
        <v>90</v>
      </c>
      <c r="E8">
        <v>23</v>
      </c>
      <c r="F8">
        <v>39.798000000000002</v>
      </c>
      <c r="G8">
        <f t="shared" si="0"/>
        <v>23.671306944444446</v>
      </c>
      <c r="H8">
        <f t="shared" si="1"/>
        <v>90.394388333333339</v>
      </c>
    </row>
    <row r="9" spans="1:8" x14ac:dyDescent="0.3">
      <c r="A9">
        <v>23</v>
      </c>
      <c r="B9">
        <v>40</v>
      </c>
      <c r="C9">
        <v>17.297000000000001</v>
      </c>
      <c r="D9">
        <v>90</v>
      </c>
      <c r="E9">
        <v>24</v>
      </c>
      <c r="F9">
        <v>15.067</v>
      </c>
      <c r="G9">
        <f t="shared" si="0"/>
        <v>23.671471388888889</v>
      </c>
      <c r="H9">
        <f t="shared" si="1"/>
        <v>90.404185277777785</v>
      </c>
    </row>
    <row r="10" spans="1:8" x14ac:dyDescent="0.3">
      <c r="A10">
        <v>23</v>
      </c>
      <c r="B10">
        <v>40</v>
      </c>
      <c r="C10">
        <v>17.887</v>
      </c>
      <c r="D10">
        <v>90</v>
      </c>
      <c r="E10">
        <v>24</v>
      </c>
      <c r="F10">
        <v>50.335999999999999</v>
      </c>
      <c r="G10">
        <f t="shared" si="0"/>
        <v>23.671635277777778</v>
      </c>
      <c r="H10">
        <f t="shared" si="1"/>
        <v>90.413982222222231</v>
      </c>
    </row>
    <row r="11" spans="1:8" x14ac:dyDescent="0.3">
      <c r="A11">
        <v>23</v>
      </c>
      <c r="B11">
        <v>40</v>
      </c>
      <c r="C11">
        <v>18.475000000000001</v>
      </c>
      <c r="D11">
        <v>90</v>
      </c>
      <c r="E11">
        <v>25</v>
      </c>
      <c r="F11">
        <v>25.605</v>
      </c>
      <c r="G11">
        <f t="shared" si="0"/>
        <v>23.671798611111111</v>
      </c>
      <c r="H11">
        <f t="shared" si="1"/>
        <v>90.423779166666677</v>
      </c>
    </row>
    <row r="12" spans="1:8" x14ac:dyDescent="0.3">
      <c r="A12">
        <v>23</v>
      </c>
      <c r="B12">
        <v>40</v>
      </c>
      <c r="C12">
        <v>19.061</v>
      </c>
      <c r="D12">
        <v>90</v>
      </c>
      <c r="E12">
        <v>26</v>
      </c>
      <c r="F12">
        <v>0.875</v>
      </c>
      <c r="G12">
        <f t="shared" si="0"/>
        <v>23.671961388888889</v>
      </c>
      <c r="H12">
        <f t="shared" si="1"/>
        <v>90.433576388888895</v>
      </c>
    </row>
    <row r="13" spans="1:8" x14ac:dyDescent="0.3">
      <c r="A13">
        <v>23</v>
      </c>
      <c r="B13">
        <v>40</v>
      </c>
      <c r="C13">
        <v>19.643999999999998</v>
      </c>
      <c r="D13">
        <v>90</v>
      </c>
      <c r="E13">
        <v>26</v>
      </c>
      <c r="F13">
        <v>36.145000000000003</v>
      </c>
      <c r="G13">
        <f t="shared" si="0"/>
        <v>23.672123333333335</v>
      </c>
      <c r="H13">
        <f t="shared" si="1"/>
        <v>90.443373611111113</v>
      </c>
    </row>
    <row r="14" spans="1:8" x14ac:dyDescent="0.3">
      <c r="A14">
        <v>23</v>
      </c>
      <c r="B14">
        <v>40</v>
      </c>
      <c r="C14">
        <v>20.225999999999999</v>
      </c>
      <c r="D14">
        <v>90</v>
      </c>
      <c r="E14">
        <v>27</v>
      </c>
      <c r="F14">
        <v>11.416</v>
      </c>
      <c r="G14">
        <f t="shared" si="0"/>
        <v>23.672285000000002</v>
      </c>
      <c r="H14">
        <f t="shared" si="1"/>
        <v>90.453171111111118</v>
      </c>
    </row>
    <row r="15" spans="1:8" x14ac:dyDescent="0.3">
      <c r="A15">
        <v>23</v>
      </c>
      <c r="B15">
        <v>40</v>
      </c>
      <c r="C15">
        <v>20.805</v>
      </c>
      <c r="D15">
        <v>90</v>
      </c>
      <c r="E15">
        <v>27</v>
      </c>
      <c r="F15">
        <v>46.686</v>
      </c>
      <c r="G15">
        <f t="shared" si="0"/>
        <v>23.672445833333335</v>
      </c>
      <c r="H15">
        <f t="shared" si="1"/>
        <v>90.462968333333336</v>
      </c>
    </row>
    <row r="16" spans="1:8" x14ac:dyDescent="0.3">
      <c r="A16">
        <v>23</v>
      </c>
      <c r="B16">
        <v>40</v>
      </c>
      <c r="C16">
        <v>21.382000000000001</v>
      </c>
      <c r="D16">
        <v>90</v>
      </c>
      <c r="E16">
        <v>28</v>
      </c>
      <c r="F16">
        <v>21.957000000000001</v>
      </c>
      <c r="G16">
        <f t="shared" si="0"/>
        <v>23.672606111111111</v>
      </c>
      <c r="H16">
        <f t="shared" si="1"/>
        <v>90.472765833333341</v>
      </c>
    </row>
    <row r="17" spans="1:8" x14ac:dyDescent="0.3">
      <c r="A17">
        <v>23</v>
      </c>
      <c r="B17">
        <v>40</v>
      </c>
      <c r="C17">
        <v>21.956</v>
      </c>
      <c r="D17">
        <v>90</v>
      </c>
      <c r="E17">
        <v>28</v>
      </c>
      <c r="F17">
        <v>57.228000000000002</v>
      </c>
      <c r="G17">
        <f t="shared" si="0"/>
        <v>23.672765555555557</v>
      </c>
      <c r="H17">
        <f t="shared" si="1"/>
        <v>90.482563333333331</v>
      </c>
    </row>
    <row r="18" spans="1:8" x14ac:dyDescent="0.3">
      <c r="A18">
        <v>23</v>
      </c>
      <c r="B18">
        <v>40</v>
      </c>
      <c r="C18">
        <v>22.529</v>
      </c>
      <c r="D18">
        <v>90</v>
      </c>
      <c r="E18">
        <v>29</v>
      </c>
      <c r="F18">
        <v>32.5</v>
      </c>
      <c r="G18">
        <f t="shared" si="0"/>
        <v>23.672924722222223</v>
      </c>
      <c r="H18">
        <f t="shared" si="1"/>
        <v>90.492361111111109</v>
      </c>
    </row>
    <row r="19" spans="1:8" x14ac:dyDescent="0.3">
      <c r="A19">
        <v>23</v>
      </c>
      <c r="B19">
        <v>40</v>
      </c>
      <c r="C19">
        <v>23.099</v>
      </c>
      <c r="D19">
        <v>90</v>
      </c>
      <c r="E19">
        <v>30</v>
      </c>
      <c r="F19">
        <v>7.7720000000000002</v>
      </c>
      <c r="G19">
        <f t="shared" si="0"/>
        <v>23.673083055555558</v>
      </c>
      <c r="H19">
        <f t="shared" si="1"/>
        <v>90.502158888888886</v>
      </c>
    </row>
    <row r="20" spans="1:8" x14ac:dyDescent="0.3">
      <c r="A20">
        <v>23</v>
      </c>
      <c r="B20">
        <v>40</v>
      </c>
      <c r="C20">
        <v>23.667000000000002</v>
      </c>
      <c r="D20">
        <v>90</v>
      </c>
      <c r="E20">
        <v>30</v>
      </c>
      <c r="F20">
        <v>43.043999999999997</v>
      </c>
      <c r="G20">
        <f t="shared" si="0"/>
        <v>23.673240833333335</v>
      </c>
      <c r="H20">
        <f t="shared" si="1"/>
        <v>90.511956666666663</v>
      </c>
    </row>
    <row r="21" spans="1:8" x14ac:dyDescent="0.3">
      <c r="A21">
        <v>23</v>
      </c>
      <c r="B21">
        <v>40</v>
      </c>
      <c r="C21">
        <v>45.585999999999999</v>
      </c>
      <c r="D21">
        <v>90</v>
      </c>
      <c r="E21">
        <v>20</v>
      </c>
      <c r="F21">
        <v>7.5330000000000004</v>
      </c>
      <c r="G21">
        <f t="shared" si="0"/>
        <v>23.679329444444445</v>
      </c>
      <c r="H21">
        <f t="shared" si="1"/>
        <v>90.335425833333332</v>
      </c>
    </row>
    <row r="22" spans="1:8" x14ac:dyDescent="0.3">
      <c r="A22">
        <v>23</v>
      </c>
      <c r="B22">
        <v>40</v>
      </c>
      <c r="C22">
        <v>46.192</v>
      </c>
      <c r="D22">
        <v>90</v>
      </c>
      <c r="E22">
        <v>20</v>
      </c>
      <c r="F22">
        <v>42.802999999999997</v>
      </c>
      <c r="G22">
        <f t="shared" si="0"/>
        <v>23.67949777777778</v>
      </c>
      <c r="H22">
        <f t="shared" si="1"/>
        <v>90.34522305555555</v>
      </c>
    </row>
    <row r="23" spans="1:8" x14ac:dyDescent="0.3">
      <c r="A23">
        <v>23</v>
      </c>
      <c r="B23">
        <v>40</v>
      </c>
      <c r="C23">
        <v>46.795999999999999</v>
      </c>
      <c r="D23">
        <v>90</v>
      </c>
      <c r="E23">
        <v>21</v>
      </c>
      <c r="F23">
        <v>18.071999999999999</v>
      </c>
      <c r="G23">
        <f t="shared" si="0"/>
        <v>23.679665555555555</v>
      </c>
      <c r="H23">
        <f t="shared" si="1"/>
        <v>90.355019999999996</v>
      </c>
    </row>
    <row r="24" spans="1:8" x14ac:dyDescent="0.3">
      <c r="A24">
        <v>23</v>
      </c>
      <c r="B24">
        <v>40</v>
      </c>
      <c r="C24">
        <v>47.396999999999998</v>
      </c>
      <c r="D24">
        <v>90</v>
      </c>
      <c r="E24">
        <v>21</v>
      </c>
      <c r="F24">
        <v>53.341999999999999</v>
      </c>
      <c r="G24">
        <f t="shared" si="0"/>
        <v>23.6798325</v>
      </c>
      <c r="H24">
        <f t="shared" si="1"/>
        <v>90.364817222222214</v>
      </c>
    </row>
    <row r="25" spans="1:8" x14ac:dyDescent="0.3">
      <c r="A25">
        <v>23</v>
      </c>
      <c r="B25">
        <v>40</v>
      </c>
      <c r="C25">
        <v>47.997</v>
      </c>
      <c r="D25">
        <v>90</v>
      </c>
      <c r="E25">
        <v>22</v>
      </c>
      <c r="F25">
        <v>28.611999999999998</v>
      </c>
      <c r="G25">
        <f t="shared" si="0"/>
        <v>23.679999166666668</v>
      </c>
      <c r="H25">
        <f t="shared" si="1"/>
        <v>90.374614444444433</v>
      </c>
    </row>
    <row r="26" spans="1:8" x14ac:dyDescent="0.3">
      <c r="A26">
        <v>23</v>
      </c>
      <c r="B26">
        <v>40</v>
      </c>
      <c r="C26">
        <v>48.594000000000001</v>
      </c>
      <c r="D26">
        <v>90</v>
      </c>
      <c r="E26">
        <v>23</v>
      </c>
      <c r="F26">
        <v>3.883</v>
      </c>
      <c r="G26">
        <f t="shared" si="0"/>
        <v>23.680165000000002</v>
      </c>
      <c r="H26">
        <f t="shared" si="1"/>
        <v>90.384411944444452</v>
      </c>
    </row>
    <row r="27" spans="1:8" x14ac:dyDescent="0.3">
      <c r="A27">
        <v>23</v>
      </c>
      <c r="B27">
        <v>40</v>
      </c>
      <c r="C27">
        <v>49.189</v>
      </c>
      <c r="D27">
        <v>90</v>
      </c>
      <c r="E27">
        <v>23</v>
      </c>
      <c r="F27">
        <v>39.154000000000003</v>
      </c>
      <c r="G27">
        <f t="shared" si="0"/>
        <v>23.680330277777777</v>
      </c>
      <c r="H27">
        <f t="shared" si="1"/>
        <v>90.394209444444456</v>
      </c>
    </row>
    <row r="28" spans="1:8" x14ac:dyDescent="0.3">
      <c r="A28">
        <v>23</v>
      </c>
      <c r="B28">
        <v>40</v>
      </c>
      <c r="C28">
        <v>49.780999999999999</v>
      </c>
      <c r="D28">
        <v>90</v>
      </c>
      <c r="E28">
        <v>24</v>
      </c>
      <c r="F28">
        <v>14.425000000000001</v>
      </c>
      <c r="G28">
        <f t="shared" si="0"/>
        <v>23.680494722222225</v>
      </c>
      <c r="H28">
        <f t="shared" si="1"/>
        <v>90.404006944444447</v>
      </c>
    </row>
    <row r="29" spans="1:8" x14ac:dyDescent="0.3">
      <c r="A29">
        <v>23</v>
      </c>
      <c r="B29">
        <v>40</v>
      </c>
      <c r="C29">
        <v>50.372</v>
      </c>
      <c r="D29">
        <v>90</v>
      </c>
      <c r="E29">
        <v>24</v>
      </c>
      <c r="F29">
        <v>49.695999999999998</v>
      </c>
      <c r="G29">
        <f t="shared" si="0"/>
        <v>23.680658888888889</v>
      </c>
      <c r="H29">
        <f t="shared" si="1"/>
        <v>90.413804444444452</v>
      </c>
    </row>
    <row r="30" spans="1:8" x14ac:dyDescent="0.3">
      <c r="A30">
        <v>23</v>
      </c>
      <c r="B30">
        <v>40</v>
      </c>
      <c r="C30">
        <v>50.96</v>
      </c>
      <c r="D30">
        <v>90</v>
      </c>
      <c r="E30">
        <v>25</v>
      </c>
      <c r="F30">
        <v>24.968</v>
      </c>
      <c r="G30">
        <f t="shared" si="0"/>
        <v>23.680822222222222</v>
      </c>
      <c r="H30">
        <f t="shared" si="1"/>
        <v>90.423602222222229</v>
      </c>
    </row>
    <row r="31" spans="1:8" x14ac:dyDescent="0.3">
      <c r="A31">
        <v>23</v>
      </c>
      <c r="B31">
        <v>40</v>
      </c>
      <c r="C31">
        <v>51.545999999999999</v>
      </c>
      <c r="D31">
        <v>90</v>
      </c>
      <c r="E31">
        <v>26</v>
      </c>
      <c r="F31">
        <v>0.24</v>
      </c>
      <c r="G31">
        <f t="shared" si="0"/>
        <v>23.680985</v>
      </c>
      <c r="H31">
        <f t="shared" si="1"/>
        <v>90.433400000000006</v>
      </c>
    </row>
    <row r="32" spans="1:8" x14ac:dyDescent="0.3">
      <c r="A32">
        <v>23</v>
      </c>
      <c r="B32">
        <v>40</v>
      </c>
      <c r="C32">
        <v>52.13</v>
      </c>
      <c r="D32">
        <v>90</v>
      </c>
      <c r="E32">
        <v>26</v>
      </c>
      <c r="F32">
        <v>35.512999999999998</v>
      </c>
      <c r="G32">
        <f t="shared" si="0"/>
        <v>23.681147222222222</v>
      </c>
      <c r="H32">
        <f t="shared" si="1"/>
        <v>90.443198055555555</v>
      </c>
    </row>
    <row r="33" spans="1:8" x14ac:dyDescent="0.3">
      <c r="A33">
        <v>23</v>
      </c>
      <c r="B33">
        <v>40</v>
      </c>
      <c r="C33">
        <v>52.710999999999999</v>
      </c>
      <c r="D33">
        <v>90</v>
      </c>
      <c r="E33">
        <v>27</v>
      </c>
      <c r="F33">
        <v>10.786</v>
      </c>
      <c r="G33">
        <f t="shared" si="0"/>
        <v>23.681308611111113</v>
      </c>
      <c r="H33">
        <f t="shared" si="1"/>
        <v>90.452996111111119</v>
      </c>
    </row>
    <row r="34" spans="1:8" x14ac:dyDescent="0.3">
      <c r="A34">
        <v>23</v>
      </c>
      <c r="B34">
        <v>40</v>
      </c>
      <c r="C34">
        <v>53.29</v>
      </c>
      <c r="D34">
        <v>90</v>
      </c>
      <c r="E34">
        <v>27</v>
      </c>
      <c r="F34">
        <v>46.058999999999997</v>
      </c>
      <c r="G34">
        <f t="shared" si="0"/>
        <v>23.681469444444446</v>
      </c>
      <c r="H34">
        <f t="shared" si="1"/>
        <v>90.462794166666669</v>
      </c>
    </row>
    <row r="35" spans="1:8" x14ac:dyDescent="0.3">
      <c r="A35">
        <v>23</v>
      </c>
      <c r="B35">
        <v>40</v>
      </c>
      <c r="C35">
        <v>53.866999999999997</v>
      </c>
      <c r="D35">
        <v>90</v>
      </c>
      <c r="E35">
        <v>28</v>
      </c>
      <c r="F35">
        <v>21.332000000000001</v>
      </c>
      <c r="G35">
        <f t="shared" si="0"/>
        <v>23.681629722222223</v>
      </c>
      <c r="H35">
        <f t="shared" si="1"/>
        <v>90.472592222222218</v>
      </c>
    </row>
    <row r="36" spans="1:8" x14ac:dyDescent="0.3">
      <c r="A36">
        <v>23</v>
      </c>
      <c r="B36">
        <v>40</v>
      </c>
      <c r="C36">
        <v>54.442</v>
      </c>
      <c r="D36">
        <v>90</v>
      </c>
      <c r="E36">
        <v>28</v>
      </c>
      <c r="F36">
        <v>56.606000000000002</v>
      </c>
      <c r="G36">
        <f t="shared" si="0"/>
        <v>23.681789444444444</v>
      </c>
      <c r="H36">
        <f t="shared" si="1"/>
        <v>90.482390555555554</v>
      </c>
    </row>
    <row r="37" spans="1:8" x14ac:dyDescent="0.3">
      <c r="A37">
        <v>23</v>
      </c>
      <c r="B37">
        <v>40</v>
      </c>
      <c r="C37">
        <v>55.015000000000001</v>
      </c>
      <c r="D37">
        <v>90</v>
      </c>
      <c r="E37">
        <v>29</v>
      </c>
      <c r="F37">
        <v>31.88</v>
      </c>
      <c r="G37">
        <f t="shared" si="0"/>
        <v>23.681948611111114</v>
      </c>
      <c r="H37">
        <f t="shared" si="1"/>
        <v>90.49218888888889</v>
      </c>
    </row>
    <row r="38" spans="1:8" x14ac:dyDescent="0.3">
      <c r="A38">
        <v>23</v>
      </c>
      <c r="B38">
        <v>40</v>
      </c>
      <c r="C38">
        <v>55.585000000000001</v>
      </c>
      <c r="D38">
        <v>90</v>
      </c>
      <c r="E38">
        <v>30</v>
      </c>
      <c r="F38">
        <v>7.1539999999999999</v>
      </c>
      <c r="G38">
        <f t="shared" si="0"/>
        <v>23.682106944444445</v>
      </c>
      <c r="H38">
        <f t="shared" si="1"/>
        <v>90.501987222222226</v>
      </c>
    </row>
    <row r="39" spans="1:8" x14ac:dyDescent="0.3">
      <c r="A39">
        <v>23</v>
      </c>
      <c r="B39">
        <v>40</v>
      </c>
      <c r="C39">
        <v>56.152999999999999</v>
      </c>
      <c r="D39">
        <v>90</v>
      </c>
      <c r="E39">
        <v>30</v>
      </c>
      <c r="F39">
        <v>42.429000000000002</v>
      </c>
      <c r="G39">
        <f t="shared" si="0"/>
        <v>23.682264722222225</v>
      </c>
      <c r="H39">
        <f t="shared" si="1"/>
        <v>90.511785833333334</v>
      </c>
    </row>
    <row r="40" spans="1:8" x14ac:dyDescent="0.3">
      <c r="A40">
        <v>23</v>
      </c>
      <c r="B40">
        <v>41</v>
      </c>
      <c r="C40">
        <v>18.068000000000001</v>
      </c>
      <c r="D40">
        <v>90</v>
      </c>
      <c r="E40">
        <v>20</v>
      </c>
      <c r="F40">
        <v>6.8739999999999997</v>
      </c>
      <c r="G40">
        <f t="shared" si="0"/>
        <v>23.688352222222221</v>
      </c>
      <c r="H40">
        <f t="shared" si="1"/>
        <v>90.335242777777779</v>
      </c>
    </row>
    <row r="41" spans="1:8" x14ac:dyDescent="0.3">
      <c r="A41">
        <v>23</v>
      </c>
      <c r="B41">
        <v>41</v>
      </c>
      <c r="C41">
        <v>18.673999999999999</v>
      </c>
      <c r="D41">
        <v>90</v>
      </c>
      <c r="E41">
        <v>20</v>
      </c>
      <c r="F41">
        <v>42.146000000000001</v>
      </c>
      <c r="G41">
        <f t="shared" si="0"/>
        <v>23.688520555555556</v>
      </c>
      <c r="H41">
        <f t="shared" si="1"/>
        <v>90.345040555555556</v>
      </c>
    </row>
    <row r="42" spans="1:8" x14ac:dyDescent="0.3">
      <c r="A42">
        <v>23</v>
      </c>
      <c r="B42">
        <v>41</v>
      </c>
      <c r="C42">
        <v>19.277999999999999</v>
      </c>
      <c r="D42">
        <v>90</v>
      </c>
      <c r="E42">
        <v>21</v>
      </c>
      <c r="F42">
        <v>17.417999999999999</v>
      </c>
      <c r="G42">
        <f t="shared" si="0"/>
        <v>23.688688333333335</v>
      </c>
      <c r="H42">
        <f t="shared" si="1"/>
        <v>90.354838333333333</v>
      </c>
    </row>
    <row r="43" spans="1:8" x14ac:dyDescent="0.3">
      <c r="A43">
        <v>23</v>
      </c>
      <c r="B43">
        <v>41</v>
      </c>
      <c r="C43">
        <v>19.88</v>
      </c>
      <c r="D43">
        <v>90</v>
      </c>
      <c r="E43">
        <v>21</v>
      </c>
      <c r="F43">
        <v>52.69</v>
      </c>
      <c r="G43">
        <f t="shared" si="0"/>
        <v>23.688855555555556</v>
      </c>
      <c r="H43">
        <f t="shared" si="1"/>
        <v>90.36463611111111</v>
      </c>
    </row>
    <row r="44" spans="1:8" x14ac:dyDescent="0.3">
      <c r="A44">
        <v>23</v>
      </c>
      <c r="B44">
        <v>41</v>
      </c>
      <c r="C44">
        <v>20.48</v>
      </c>
      <c r="D44">
        <v>90</v>
      </c>
      <c r="E44">
        <v>22</v>
      </c>
      <c r="F44">
        <v>27.963000000000001</v>
      </c>
      <c r="G44">
        <f t="shared" si="0"/>
        <v>23.689022222222224</v>
      </c>
      <c r="H44">
        <f t="shared" si="1"/>
        <v>90.37443416666666</v>
      </c>
    </row>
    <row r="45" spans="1:8" x14ac:dyDescent="0.3">
      <c r="A45">
        <v>23</v>
      </c>
      <c r="B45">
        <v>41</v>
      </c>
      <c r="C45">
        <v>21.077000000000002</v>
      </c>
      <c r="D45">
        <v>90</v>
      </c>
      <c r="E45">
        <v>23</v>
      </c>
      <c r="F45">
        <v>3.2349999999999999</v>
      </c>
      <c r="G45">
        <f t="shared" si="0"/>
        <v>23.689188055555555</v>
      </c>
      <c r="H45">
        <f t="shared" si="1"/>
        <v>90.384231944444451</v>
      </c>
    </row>
    <row r="46" spans="1:8" x14ac:dyDescent="0.3">
      <c r="A46">
        <v>23</v>
      </c>
      <c r="B46">
        <v>41</v>
      </c>
      <c r="C46">
        <v>21.672000000000001</v>
      </c>
      <c r="D46">
        <v>90</v>
      </c>
      <c r="E46">
        <v>23</v>
      </c>
      <c r="F46">
        <v>38.509</v>
      </c>
      <c r="G46">
        <f t="shared" si="0"/>
        <v>23.689353333333333</v>
      </c>
      <c r="H46">
        <f t="shared" si="1"/>
        <v>90.394030277777787</v>
      </c>
    </row>
    <row r="47" spans="1:8" x14ac:dyDescent="0.3">
      <c r="A47">
        <v>23</v>
      </c>
      <c r="B47">
        <v>41</v>
      </c>
      <c r="C47">
        <v>22.265000000000001</v>
      </c>
      <c r="D47">
        <v>90</v>
      </c>
      <c r="E47">
        <v>24</v>
      </c>
      <c r="F47">
        <v>13.782</v>
      </c>
      <c r="G47">
        <f t="shared" si="0"/>
        <v>23.689518055555556</v>
      </c>
      <c r="H47">
        <f t="shared" si="1"/>
        <v>90.403828333333337</v>
      </c>
    </row>
    <row r="48" spans="1:8" x14ac:dyDescent="0.3">
      <c r="A48">
        <v>23</v>
      </c>
      <c r="B48">
        <v>41</v>
      </c>
      <c r="C48">
        <v>22.856000000000002</v>
      </c>
      <c r="D48">
        <v>90</v>
      </c>
      <c r="E48">
        <v>24</v>
      </c>
      <c r="F48">
        <v>49.055999999999997</v>
      </c>
      <c r="G48">
        <f t="shared" si="0"/>
        <v>23.689682222222224</v>
      </c>
      <c r="H48">
        <f t="shared" si="1"/>
        <v>90.413626666666673</v>
      </c>
    </row>
    <row r="49" spans="1:8" x14ac:dyDescent="0.3">
      <c r="A49">
        <v>23</v>
      </c>
      <c r="B49">
        <v>41</v>
      </c>
      <c r="C49">
        <v>23.443999999999999</v>
      </c>
      <c r="D49">
        <v>90</v>
      </c>
      <c r="E49">
        <v>25</v>
      </c>
      <c r="F49">
        <v>24.331</v>
      </c>
      <c r="G49">
        <f t="shared" si="0"/>
        <v>23.689845555555557</v>
      </c>
      <c r="H49">
        <f t="shared" si="1"/>
        <v>90.423425277777781</v>
      </c>
    </row>
    <row r="50" spans="1:8" x14ac:dyDescent="0.3">
      <c r="A50">
        <v>23</v>
      </c>
      <c r="B50">
        <v>41</v>
      </c>
      <c r="C50">
        <v>24.030999999999999</v>
      </c>
      <c r="D50">
        <v>90</v>
      </c>
      <c r="E50">
        <v>25</v>
      </c>
      <c r="F50">
        <v>59.604999999999997</v>
      </c>
      <c r="G50">
        <f t="shared" si="0"/>
        <v>23.690008611111111</v>
      </c>
      <c r="H50">
        <f t="shared" si="1"/>
        <v>90.433223611111117</v>
      </c>
    </row>
    <row r="51" spans="1:8" x14ac:dyDescent="0.3">
      <c r="A51">
        <v>23</v>
      </c>
      <c r="B51">
        <v>41</v>
      </c>
      <c r="C51">
        <v>24.614999999999998</v>
      </c>
      <c r="D51">
        <v>90</v>
      </c>
      <c r="E51">
        <v>26</v>
      </c>
      <c r="F51">
        <v>34.880000000000003</v>
      </c>
      <c r="G51">
        <f t="shared" si="0"/>
        <v>23.690170833333333</v>
      </c>
      <c r="H51">
        <f t="shared" si="1"/>
        <v>90.443022222222226</v>
      </c>
    </row>
    <row r="52" spans="1:8" x14ac:dyDescent="0.3">
      <c r="A52">
        <v>23</v>
      </c>
      <c r="B52">
        <v>41</v>
      </c>
      <c r="C52">
        <v>25.196000000000002</v>
      </c>
      <c r="D52">
        <v>90</v>
      </c>
      <c r="E52">
        <v>27</v>
      </c>
      <c r="F52">
        <v>10.154999999999999</v>
      </c>
      <c r="G52">
        <f t="shared" si="0"/>
        <v>23.690332222222221</v>
      </c>
      <c r="H52">
        <f t="shared" si="1"/>
        <v>90.452820833333334</v>
      </c>
    </row>
    <row r="53" spans="1:8" x14ac:dyDescent="0.3">
      <c r="A53">
        <v>23</v>
      </c>
      <c r="B53">
        <v>41</v>
      </c>
      <c r="C53">
        <v>25.776</v>
      </c>
      <c r="D53">
        <v>90</v>
      </c>
      <c r="E53">
        <v>27</v>
      </c>
      <c r="F53">
        <v>45.430999999999997</v>
      </c>
      <c r="G53">
        <f t="shared" si="0"/>
        <v>23.690493333333333</v>
      </c>
      <c r="H53">
        <f t="shared" si="1"/>
        <v>90.462619722222229</v>
      </c>
    </row>
    <row r="54" spans="1:8" x14ac:dyDescent="0.3">
      <c r="A54">
        <v>23</v>
      </c>
      <c r="B54">
        <v>41</v>
      </c>
      <c r="C54">
        <v>26.353000000000002</v>
      </c>
      <c r="D54">
        <v>90</v>
      </c>
      <c r="E54">
        <v>28</v>
      </c>
      <c r="F54">
        <v>20.706</v>
      </c>
      <c r="G54">
        <f t="shared" si="0"/>
        <v>23.690653611111113</v>
      </c>
      <c r="H54">
        <f t="shared" si="1"/>
        <v>90.472418333333337</v>
      </c>
    </row>
    <row r="55" spans="1:8" x14ac:dyDescent="0.3">
      <c r="A55">
        <v>23</v>
      </c>
      <c r="B55">
        <v>41</v>
      </c>
      <c r="C55">
        <v>26.928000000000001</v>
      </c>
      <c r="D55">
        <v>90</v>
      </c>
      <c r="E55">
        <v>28</v>
      </c>
      <c r="F55">
        <v>55.982999999999997</v>
      </c>
      <c r="G55">
        <f t="shared" si="0"/>
        <v>23.690813333333335</v>
      </c>
      <c r="H55">
        <f t="shared" si="1"/>
        <v>90.482217500000004</v>
      </c>
    </row>
    <row r="56" spans="1:8" x14ac:dyDescent="0.3">
      <c r="A56">
        <v>23</v>
      </c>
      <c r="B56">
        <v>41</v>
      </c>
      <c r="C56">
        <v>27.501000000000001</v>
      </c>
      <c r="D56">
        <v>90</v>
      </c>
      <c r="E56">
        <v>29</v>
      </c>
      <c r="F56">
        <v>31.259</v>
      </c>
      <c r="G56">
        <f t="shared" si="0"/>
        <v>23.690972500000001</v>
      </c>
      <c r="H56">
        <f t="shared" si="1"/>
        <v>90.492016388888885</v>
      </c>
    </row>
    <row r="57" spans="1:8" x14ac:dyDescent="0.3">
      <c r="A57">
        <v>23</v>
      </c>
      <c r="B57">
        <v>41</v>
      </c>
      <c r="C57">
        <v>28.071999999999999</v>
      </c>
      <c r="D57">
        <v>90</v>
      </c>
      <c r="E57">
        <v>30</v>
      </c>
      <c r="F57">
        <v>6.5359999999999996</v>
      </c>
      <c r="G57">
        <f t="shared" si="0"/>
        <v>23.691131111111112</v>
      </c>
      <c r="H57">
        <f t="shared" si="1"/>
        <v>90.501815555555552</v>
      </c>
    </row>
    <row r="58" spans="1:8" x14ac:dyDescent="0.3">
      <c r="A58">
        <v>23</v>
      </c>
      <c r="B58">
        <v>41</v>
      </c>
      <c r="C58">
        <v>28.64</v>
      </c>
      <c r="D58">
        <v>90</v>
      </c>
      <c r="E58">
        <v>30</v>
      </c>
      <c r="F58">
        <v>41.813000000000002</v>
      </c>
      <c r="G58">
        <f t="shared" si="0"/>
        <v>23.691288888888888</v>
      </c>
      <c r="H58">
        <f t="shared" si="1"/>
        <v>90.51161472222222</v>
      </c>
    </row>
    <row r="59" spans="1:8" x14ac:dyDescent="0.3">
      <c r="A59">
        <v>23</v>
      </c>
      <c r="B59">
        <v>41</v>
      </c>
      <c r="C59">
        <v>50.55</v>
      </c>
      <c r="D59">
        <v>90</v>
      </c>
      <c r="E59">
        <v>20</v>
      </c>
      <c r="F59">
        <v>6.2140000000000004</v>
      </c>
      <c r="G59">
        <f t="shared" si="0"/>
        <v>23.697375000000001</v>
      </c>
      <c r="H59">
        <f t="shared" si="1"/>
        <v>90.33505944444444</v>
      </c>
    </row>
    <row r="60" spans="1:8" x14ac:dyDescent="0.3">
      <c r="A60">
        <v>23</v>
      </c>
      <c r="B60">
        <v>41</v>
      </c>
      <c r="C60">
        <v>51.156999999999996</v>
      </c>
      <c r="D60">
        <v>90</v>
      </c>
      <c r="E60">
        <v>20</v>
      </c>
      <c r="F60">
        <v>41.488</v>
      </c>
      <c r="G60">
        <f t="shared" si="0"/>
        <v>23.697543611111112</v>
      </c>
      <c r="H60">
        <f t="shared" si="1"/>
        <v>90.344857777777776</v>
      </c>
    </row>
    <row r="61" spans="1:8" x14ac:dyDescent="0.3">
      <c r="A61">
        <v>23</v>
      </c>
      <c r="B61">
        <v>41</v>
      </c>
      <c r="C61">
        <v>51.761000000000003</v>
      </c>
      <c r="D61">
        <v>90</v>
      </c>
      <c r="E61">
        <v>21</v>
      </c>
      <c r="F61">
        <v>16.763000000000002</v>
      </c>
      <c r="G61">
        <f t="shared" si="0"/>
        <v>23.697711388888891</v>
      </c>
      <c r="H61">
        <f t="shared" si="1"/>
        <v>90.354656388888884</v>
      </c>
    </row>
    <row r="62" spans="1:8" x14ac:dyDescent="0.3">
      <c r="A62">
        <v>23</v>
      </c>
      <c r="B62">
        <v>41</v>
      </c>
      <c r="C62">
        <v>52.363</v>
      </c>
      <c r="D62">
        <v>90</v>
      </c>
      <c r="E62">
        <v>21</v>
      </c>
      <c r="F62">
        <v>52.036999999999999</v>
      </c>
      <c r="G62">
        <f t="shared" si="0"/>
        <v>23.697878611111111</v>
      </c>
      <c r="H62">
        <f t="shared" si="1"/>
        <v>90.36445472222222</v>
      </c>
    </row>
    <row r="63" spans="1:8" x14ac:dyDescent="0.3">
      <c r="A63">
        <v>23</v>
      </c>
      <c r="B63">
        <v>41</v>
      </c>
      <c r="C63">
        <v>52.963000000000001</v>
      </c>
      <c r="D63">
        <v>90</v>
      </c>
      <c r="E63">
        <v>22</v>
      </c>
      <c r="F63">
        <v>27.312000000000001</v>
      </c>
      <c r="G63">
        <f t="shared" si="0"/>
        <v>23.698045277777776</v>
      </c>
      <c r="H63">
        <f t="shared" si="1"/>
        <v>90.374253333333328</v>
      </c>
    </row>
    <row r="64" spans="1:8" x14ac:dyDescent="0.3">
      <c r="A64">
        <v>23</v>
      </c>
      <c r="B64">
        <v>41</v>
      </c>
      <c r="C64">
        <v>53.561</v>
      </c>
      <c r="D64">
        <v>90</v>
      </c>
      <c r="E64">
        <v>23</v>
      </c>
      <c r="F64">
        <v>2.5880000000000001</v>
      </c>
      <c r="G64">
        <f t="shared" si="0"/>
        <v>23.69821138888889</v>
      </c>
      <c r="H64">
        <f t="shared" si="1"/>
        <v>90.384052222222223</v>
      </c>
    </row>
    <row r="65" spans="1:8" x14ac:dyDescent="0.3">
      <c r="A65">
        <v>23</v>
      </c>
      <c r="B65">
        <v>41</v>
      </c>
      <c r="C65">
        <v>54.155999999999999</v>
      </c>
      <c r="D65">
        <v>90</v>
      </c>
      <c r="E65">
        <v>23</v>
      </c>
      <c r="F65">
        <v>37.863999999999997</v>
      </c>
      <c r="G65">
        <f t="shared" si="0"/>
        <v>23.698376666666668</v>
      </c>
      <c r="H65">
        <f t="shared" si="1"/>
        <v>90.393851111111118</v>
      </c>
    </row>
    <row r="66" spans="1:8" x14ac:dyDescent="0.3">
      <c r="A66">
        <v>23</v>
      </c>
      <c r="B66">
        <v>41</v>
      </c>
      <c r="C66">
        <v>54.749000000000002</v>
      </c>
      <c r="D66">
        <v>90</v>
      </c>
      <c r="E66">
        <v>24</v>
      </c>
      <c r="F66">
        <v>13.14</v>
      </c>
      <c r="G66">
        <f t="shared" si="0"/>
        <v>23.698541388888888</v>
      </c>
      <c r="H66">
        <f t="shared" si="1"/>
        <v>90.403649999999999</v>
      </c>
    </row>
    <row r="67" spans="1:8" x14ac:dyDescent="0.3">
      <c r="A67">
        <v>23</v>
      </c>
      <c r="B67">
        <v>41</v>
      </c>
      <c r="C67">
        <v>55.34</v>
      </c>
      <c r="D67">
        <v>90</v>
      </c>
      <c r="E67">
        <v>24</v>
      </c>
      <c r="F67">
        <v>48.415999999999997</v>
      </c>
      <c r="G67">
        <f t="shared" ref="G67:G130" si="2">DecimalDegreesConverter(A67,B67,C67)</f>
        <v>23.698705555555556</v>
      </c>
      <c r="H67">
        <f t="shared" ref="H67:H130" si="3">DecimalDegreesConverter(D67,E67,F67)</f>
        <v>90.413448888888894</v>
      </c>
    </row>
    <row r="68" spans="1:8" x14ac:dyDescent="0.3">
      <c r="A68">
        <v>23</v>
      </c>
      <c r="B68">
        <v>41</v>
      </c>
      <c r="C68">
        <v>55.929000000000002</v>
      </c>
      <c r="D68">
        <v>90</v>
      </c>
      <c r="E68">
        <v>25</v>
      </c>
      <c r="F68">
        <v>23.693000000000001</v>
      </c>
      <c r="G68">
        <f t="shared" si="2"/>
        <v>23.698869166666668</v>
      </c>
      <c r="H68">
        <f t="shared" si="3"/>
        <v>90.423248055555561</v>
      </c>
    </row>
    <row r="69" spans="1:8" x14ac:dyDescent="0.3">
      <c r="A69">
        <v>23</v>
      </c>
      <c r="B69">
        <v>41</v>
      </c>
      <c r="C69">
        <v>56.515000000000001</v>
      </c>
      <c r="D69">
        <v>90</v>
      </c>
      <c r="E69">
        <v>25</v>
      </c>
      <c r="F69">
        <v>58.97</v>
      </c>
      <c r="G69">
        <f t="shared" si="2"/>
        <v>23.699031944444446</v>
      </c>
      <c r="H69">
        <f t="shared" si="3"/>
        <v>90.433047222222228</v>
      </c>
    </row>
    <row r="70" spans="1:8" x14ac:dyDescent="0.3">
      <c r="A70">
        <v>23</v>
      </c>
      <c r="B70">
        <v>41</v>
      </c>
      <c r="C70">
        <v>57.1</v>
      </c>
      <c r="D70">
        <v>90</v>
      </c>
      <c r="E70">
        <v>26</v>
      </c>
      <c r="F70">
        <v>34.247</v>
      </c>
      <c r="G70">
        <f t="shared" si="2"/>
        <v>23.699194444444444</v>
      </c>
      <c r="H70">
        <f t="shared" si="3"/>
        <v>90.442846388888896</v>
      </c>
    </row>
    <row r="71" spans="1:8" x14ac:dyDescent="0.3">
      <c r="A71">
        <v>23</v>
      </c>
      <c r="B71">
        <v>41</v>
      </c>
      <c r="C71">
        <v>57.682000000000002</v>
      </c>
      <c r="D71">
        <v>90</v>
      </c>
      <c r="E71">
        <v>27</v>
      </c>
      <c r="F71">
        <v>9.5239999999999991</v>
      </c>
      <c r="G71">
        <f t="shared" si="2"/>
        <v>23.699356111111111</v>
      </c>
      <c r="H71">
        <f t="shared" si="3"/>
        <v>90.452645555555563</v>
      </c>
    </row>
    <row r="72" spans="1:8" x14ac:dyDescent="0.3">
      <c r="A72">
        <v>23</v>
      </c>
      <c r="B72">
        <v>41</v>
      </c>
      <c r="C72">
        <v>58.261000000000003</v>
      </c>
      <c r="D72">
        <v>90</v>
      </c>
      <c r="E72">
        <v>27</v>
      </c>
      <c r="F72">
        <v>44.802</v>
      </c>
      <c r="G72">
        <f t="shared" si="2"/>
        <v>23.699516944444444</v>
      </c>
      <c r="H72">
        <f t="shared" si="3"/>
        <v>90.462445000000002</v>
      </c>
    </row>
    <row r="73" spans="1:8" x14ac:dyDescent="0.3">
      <c r="A73">
        <v>23</v>
      </c>
      <c r="B73">
        <v>41</v>
      </c>
      <c r="C73">
        <v>58.838999999999999</v>
      </c>
      <c r="D73">
        <v>90</v>
      </c>
      <c r="E73">
        <v>28</v>
      </c>
      <c r="F73">
        <v>20.081</v>
      </c>
      <c r="G73">
        <f t="shared" si="2"/>
        <v>23.6996775</v>
      </c>
      <c r="H73">
        <f t="shared" si="3"/>
        <v>90.472244722222229</v>
      </c>
    </row>
    <row r="74" spans="1:8" x14ac:dyDescent="0.3">
      <c r="A74">
        <v>23</v>
      </c>
      <c r="B74">
        <v>41</v>
      </c>
      <c r="C74">
        <v>59.414000000000001</v>
      </c>
      <c r="D74">
        <v>90</v>
      </c>
      <c r="E74">
        <v>28</v>
      </c>
      <c r="F74">
        <v>55.359000000000002</v>
      </c>
      <c r="G74">
        <f t="shared" si="2"/>
        <v>23.699837222222222</v>
      </c>
      <c r="H74">
        <f t="shared" si="3"/>
        <v>90.482044166666668</v>
      </c>
    </row>
    <row r="75" spans="1:8" x14ac:dyDescent="0.3">
      <c r="A75">
        <v>23</v>
      </c>
      <c r="B75">
        <v>41</v>
      </c>
      <c r="C75">
        <v>59.987000000000002</v>
      </c>
      <c r="D75">
        <v>90</v>
      </c>
      <c r="E75">
        <v>29</v>
      </c>
      <c r="F75">
        <v>30.638000000000002</v>
      </c>
      <c r="G75">
        <f t="shared" si="2"/>
        <v>23.699996388888888</v>
      </c>
      <c r="H75">
        <f t="shared" si="3"/>
        <v>90.491843888888894</v>
      </c>
    </row>
    <row r="76" spans="1:8" x14ac:dyDescent="0.3">
      <c r="A76">
        <v>23</v>
      </c>
      <c r="B76">
        <v>42</v>
      </c>
      <c r="C76">
        <v>0.55800000000000005</v>
      </c>
      <c r="D76">
        <v>90</v>
      </c>
      <c r="E76">
        <v>30</v>
      </c>
      <c r="F76">
        <v>5.9169999999999998</v>
      </c>
      <c r="G76">
        <f t="shared" si="2"/>
        <v>23.700154999999999</v>
      </c>
      <c r="H76">
        <f t="shared" si="3"/>
        <v>90.501643611111106</v>
      </c>
    </row>
    <row r="77" spans="1:8" x14ac:dyDescent="0.3">
      <c r="A77">
        <v>23</v>
      </c>
      <c r="B77">
        <v>42</v>
      </c>
      <c r="C77">
        <v>1.127</v>
      </c>
      <c r="D77">
        <v>90</v>
      </c>
      <c r="E77">
        <v>30</v>
      </c>
      <c r="F77">
        <v>41.197000000000003</v>
      </c>
      <c r="G77">
        <f t="shared" si="2"/>
        <v>23.700313055555554</v>
      </c>
      <c r="H77">
        <f t="shared" si="3"/>
        <v>90.511443611111105</v>
      </c>
    </row>
    <row r="78" spans="1:8" x14ac:dyDescent="0.3">
      <c r="A78">
        <v>23</v>
      </c>
      <c r="B78">
        <v>42</v>
      </c>
      <c r="C78">
        <v>23.032</v>
      </c>
      <c r="D78">
        <v>90</v>
      </c>
      <c r="E78">
        <v>20</v>
      </c>
      <c r="F78">
        <v>5.5540000000000003</v>
      </c>
      <c r="G78">
        <f t="shared" si="2"/>
        <v>23.706397777777777</v>
      </c>
      <c r="H78">
        <f t="shared" si="3"/>
        <v>90.3348761111111</v>
      </c>
    </row>
    <row r="79" spans="1:8" x14ac:dyDescent="0.3">
      <c r="A79">
        <v>23</v>
      </c>
      <c r="B79">
        <v>42</v>
      </c>
      <c r="C79">
        <v>23.638999999999999</v>
      </c>
      <c r="D79">
        <v>90</v>
      </c>
      <c r="E79">
        <v>20</v>
      </c>
      <c r="F79">
        <v>40.831000000000003</v>
      </c>
      <c r="G79">
        <f t="shared" si="2"/>
        <v>23.706566388888888</v>
      </c>
      <c r="H79">
        <f t="shared" si="3"/>
        <v>90.344675277777768</v>
      </c>
    </row>
    <row r="80" spans="1:8" x14ac:dyDescent="0.3">
      <c r="A80">
        <v>23</v>
      </c>
      <c r="B80">
        <v>42</v>
      </c>
      <c r="C80">
        <v>24.244</v>
      </c>
      <c r="D80">
        <v>90</v>
      </c>
      <c r="E80">
        <v>21</v>
      </c>
      <c r="F80">
        <v>16.106999999999999</v>
      </c>
      <c r="G80">
        <f t="shared" si="2"/>
        <v>23.706734444444443</v>
      </c>
      <c r="H80">
        <f t="shared" si="3"/>
        <v>90.354474166666662</v>
      </c>
    </row>
    <row r="81" spans="1:8" x14ac:dyDescent="0.3">
      <c r="A81">
        <v>23</v>
      </c>
      <c r="B81">
        <v>42</v>
      </c>
      <c r="C81">
        <v>24.846</v>
      </c>
      <c r="D81">
        <v>90</v>
      </c>
      <c r="E81">
        <v>21</v>
      </c>
      <c r="F81">
        <v>51.384999999999998</v>
      </c>
      <c r="G81">
        <f t="shared" si="2"/>
        <v>23.706901666666667</v>
      </c>
      <c r="H81">
        <f t="shared" si="3"/>
        <v>90.364273611111102</v>
      </c>
    </row>
    <row r="82" spans="1:8" x14ac:dyDescent="0.3">
      <c r="A82">
        <v>23</v>
      </c>
      <c r="B82">
        <v>42</v>
      </c>
      <c r="C82">
        <v>25.446000000000002</v>
      </c>
      <c r="D82">
        <v>90</v>
      </c>
      <c r="E82">
        <v>22</v>
      </c>
      <c r="F82">
        <v>26.661999999999999</v>
      </c>
      <c r="G82">
        <f t="shared" si="2"/>
        <v>23.707068333333332</v>
      </c>
      <c r="H82">
        <f t="shared" si="3"/>
        <v>90.374072777777769</v>
      </c>
    </row>
    <row r="83" spans="1:8" x14ac:dyDescent="0.3">
      <c r="A83">
        <v>23</v>
      </c>
      <c r="B83">
        <v>42</v>
      </c>
      <c r="C83">
        <v>26.044</v>
      </c>
      <c r="D83">
        <v>90</v>
      </c>
      <c r="E83">
        <v>23</v>
      </c>
      <c r="F83">
        <v>1.94</v>
      </c>
      <c r="G83">
        <f t="shared" si="2"/>
        <v>23.707234444444445</v>
      </c>
      <c r="H83">
        <f t="shared" si="3"/>
        <v>90.383872222222223</v>
      </c>
    </row>
    <row r="84" spans="1:8" x14ac:dyDescent="0.3">
      <c r="A84">
        <v>23</v>
      </c>
      <c r="B84">
        <v>42</v>
      </c>
      <c r="C84">
        <v>26.64</v>
      </c>
      <c r="D84">
        <v>90</v>
      </c>
      <c r="E84">
        <v>23</v>
      </c>
      <c r="F84">
        <v>37.218000000000004</v>
      </c>
      <c r="G84">
        <f t="shared" si="2"/>
        <v>23.7074</v>
      </c>
      <c r="H84">
        <f t="shared" si="3"/>
        <v>90.393671666666677</v>
      </c>
    </row>
    <row r="85" spans="1:8" x14ac:dyDescent="0.3">
      <c r="A85">
        <v>23</v>
      </c>
      <c r="B85">
        <v>42</v>
      </c>
      <c r="C85">
        <v>27.233000000000001</v>
      </c>
      <c r="D85">
        <v>90</v>
      </c>
      <c r="E85">
        <v>24</v>
      </c>
      <c r="F85">
        <v>12.496</v>
      </c>
      <c r="G85">
        <f t="shared" si="2"/>
        <v>23.707564722222223</v>
      </c>
      <c r="H85">
        <f t="shared" si="3"/>
        <v>90.403471111111116</v>
      </c>
    </row>
    <row r="86" spans="1:8" x14ac:dyDescent="0.3">
      <c r="A86">
        <v>23</v>
      </c>
      <c r="B86">
        <v>42</v>
      </c>
      <c r="C86">
        <v>27.824000000000002</v>
      </c>
      <c r="D86">
        <v>90</v>
      </c>
      <c r="E86">
        <v>24</v>
      </c>
      <c r="F86">
        <v>47.774999999999999</v>
      </c>
      <c r="G86">
        <f t="shared" si="2"/>
        <v>23.707728888888887</v>
      </c>
      <c r="H86">
        <f t="shared" si="3"/>
        <v>90.413270833333343</v>
      </c>
    </row>
    <row r="87" spans="1:8" x14ac:dyDescent="0.3">
      <c r="A87">
        <v>23</v>
      </c>
      <c r="B87">
        <v>42</v>
      </c>
      <c r="C87">
        <v>28.413</v>
      </c>
      <c r="D87">
        <v>90</v>
      </c>
      <c r="E87">
        <v>25</v>
      </c>
      <c r="F87">
        <v>23.053999999999998</v>
      </c>
      <c r="G87">
        <f t="shared" si="2"/>
        <v>23.7078925</v>
      </c>
      <c r="H87">
        <f t="shared" si="3"/>
        <v>90.423070555555555</v>
      </c>
    </row>
    <row r="88" spans="1:8" x14ac:dyDescent="0.3">
      <c r="A88">
        <v>23</v>
      </c>
      <c r="B88">
        <v>42</v>
      </c>
      <c r="C88">
        <v>29</v>
      </c>
      <c r="D88">
        <v>90</v>
      </c>
      <c r="E88">
        <v>25</v>
      </c>
      <c r="F88">
        <v>58.334000000000003</v>
      </c>
      <c r="G88">
        <f t="shared" si="2"/>
        <v>23.708055555555553</v>
      </c>
      <c r="H88">
        <f t="shared" si="3"/>
        <v>90.432870555555567</v>
      </c>
    </row>
    <row r="89" spans="1:8" x14ac:dyDescent="0.3">
      <c r="A89">
        <v>23</v>
      </c>
      <c r="B89">
        <v>42</v>
      </c>
      <c r="C89">
        <v>29.585000000000001</v>
      </c>
      <c r="D89">
        <v>90</v>
      </c>
      <c r="E89">
        <v>26</v>
      </c>
      <c r="F89">
        <v>33.613</v>
      </c>
      <c r="G89">
        <f t="shared" si="2"/>
        <v>23.708218055555555</v>
      </c>
      <c r="H89">
        <f t="shared" si="3"/>
        <v>90.442670277777779</v>
      </c>
    </row>
    <row r="90" spans="1:8" x14ac:dyDescent="0.3">
      <c r="A90">
        <v>23</v>
      </c>
      <c r="B90">
        <v>42</v>
      </c>
      <c r="C90">
        <v>30.167000000000002</v>
      </c>
      <c r="D90">
        <v>90</v>
      </c>
      <c r="E90">
        <v>27</v>
      </c>
      <c r="F90">
        <v>8.8930000000000007</v>
      </c>
      <c r="G90">
        <f t="shared" si="2"/>
        <v>23.708379722222222</v>
      </c>
      <c r="H90">
        <f t="shared" si="3"/>
        <v>90.452470277777778</v>
      </c>
    </row>
    <row r="91" spans="1:8" x14ac:dyDescent="0.3">
      <c r="A91">
        <v>23</v>
      </c>
      <c r="B91">
        <v>42</v>
      </c>
      <c r="C91">
        <v>30.747</v>
      </c>
      <c r="D91">
        <v>90</v>
      </c>
      <c r="E91">
        <v>27</v>
      </c>
      <c r="F91">
        <v>44.173999999999999</v>
      </c>
      <c r="G91">
        <f t="shared" si="2"/>
        <v>23.708540833333334</v>
      </c>
      <c r="H91">
        <f t="shared" si="3"/>
        <v>90.462270555555563</v>
      </c>
    </row>
    <row r="92" spans="1:8" x14ac:dyDescent="0.3">
      <c r="A92">
        <v>23</v>
      </c>
      <c r="B92">
        <v>42</v>
      </c>
      <c r="C92">
        <v>31.324999999999999</v>
      </c>
      <c r="D92">
        <v>90</v>
      </c>
      <c r="E92">
        <v>28</v>
      </c>
      <c r="F92">
        <v>19.454000000000001</v>
      </c>
      <c r="G92">
        <f t="shared" si="2"/>
        <v>23.708701388888887</v>
      </c>
      <c r="H92">
        <f t="shared" si="3"/>
        <v>90.472070555555561</v>
      </c>
    </row>
    <row r="93" spans="1:8" x14ac:dyDescent="0.3">
      <c r="A93">
        <v>23</v>
      </c>
      <c r="B93">
        <v>42</v>
      </c>
      <c r="C93">
        <v>31.9</v>
      </c>
      <c r="D93">
        <v>90</v>
      </c>
      <c r="E93">
        <v>28</v>
      </c>
      <c r="F93">
        <v>54.734999999999999</v>
      </c>
      <c r="G93">
        <f t="shared" si="2"/>
        <v>23.708861111111112</v>
      </c>
      <c r="H93">
        <f t="shared" si="3"/>
        <v>90.481870833333332</v>
      </c>
    </row>
    <row r="94" spans="1:8" x14ac:dyDescent="0.3">
      <c r="A94">
        <v>23</v>
      </c>
      <c r="B94">
        <v>42</v>
      </c>
      <c r="C94">
        <v>32.473999999999997</v>
      </c>
      <c r="D94">
        <v>90</v>
      </c>
      <c r="E94">
        <v>29</v>
      </c>
      <c r="F94">
        <v>30.016999999999999</v>
      </c>
      <c r="G94">
        <f t="shared" si="2"/>
        <v>23.709020555555554</v>
      </c>
      <c r="H94">
        <f t="shared" si="3"/>
        <v>90.491671388888889</v>
      </c>
    </row>
    <row r="95" spans="1:8" x14ac:dyDescent="0.3">
      <c r="A95">
        <v>23</v>
      </c>
      <c r="B95">
        <v>42</v>
      </c>
      <c r="C95">
        <v>33.045000000000002</v>
      </c>
      <c r="D95">
        <v>90</v>
      </c>
      <c r="E95">
        <v>30</v>
      </c>
      <c r="F95">
        <v>5.298</v>
      </c>
      <c r="G95">
        <f t="shared" si="2"/>
        <v>23.709179166666665</v>
      </c>
      <c r="H95">
        <f t="shared" si="3"/>
        <v>90.50147166666666</v>
      </c>
    </row>
    <row r="96" spans="1:8" x14ac:dyDescent="0.3">
      <c r="A96">
        <v>23</v>
      </c>
      <c r="B96">
        <v>42</v>
      </c>
      <c r="C96">
        <v>33.613999999999997</v>
      </c>
      <c r="D96">
        <v>90</v>
      </c>
      <c r="E96">
        <v>30</v>
      </c>
      <c r="F96">
        <v>40.58</v>
      </c>
      <c r="G96">
        <f t="shared" si="2"/>
        <v>23.709337222222221</v>
      </c>
      <c r="H96">
        <f t="shared" si="3"/>
        <v>90.511272222222217</v>
      </c>
    </row>
    <row r="97" spans="1:8" x14ac:dyDescent="0.3">
      <c r="A97">
        <v>23</v>
      </c>
      <c r="B97">
        <v>42</v>
      </c>
      <c r="C97">
        <v>55.515000000000001</v>
      </c>
      <c r="D97">
        <v>90</v>
      </c>
      <c r="E97">
        <v>20</v>
      </c>
      <c r="F97">
        <v>4.8940000000000001</v>
      </c>
      <c r="G97">
        <f t="shared" si="2"/>
        <v>23.715420833333333</v>
      </c>
      <c r="H97">
        <f t="shared" si="3"/>
        <v>90.334692777777775</v>
      </c>
    </row>
    <row r="98" spans="1:8" x14ac:dyDescent="0.3">
      <c r="A98">
        <v>23</v>
      </c>
      <c r="B98">
        <v>42</v>
      </c>
      <c r="C98">
        <v>56.122</v>
      </c>
      <c r="D98">
        <v>90</v>
      </c>
      <c r="E98">
        <v>20</v>
      </c>
      <c r="F98">
        <v>40.173000000000002</v>
      </c>
      <c r="G98">
        <f t="shared" si="2"/>
        <v>23.715589444444444</v>
      </c>
      <c r="H98">
        <f t="shared" si="3"/>
        <v>90.344492500000001</v>
      </c>
    </row>
    <row r="99" spans="1:8" x14ac:dyDescent="0.3">
      <c r="A99">
        <v>23</v>
      </c>
      <c r="B99">
        <v>42</v>
      </c>
      <c r="C99">
        <v>56.725999999999999</v>
      </c>
      <c r="D99">
        <v>90</v>
      </c>
      <c r="E99">
        <v>21</v>
      </c>
      <c r="F99">
        <v>15.452</v>
      </c>
      <c r="G99">
        <f t="shared" si="2"/>
        <v>23.715757222222223</v>
      </c>
      <c r="H99">
        <f t="shared" si="3"/>
        <v>90.354292222222213</v>
      </c>
    </row>
    <row r="100" spans="1:8" x14ac:dyDescent="0.3">
      <c r="A100">
        <v>23</v>
      </c>
      <c r="B100">
        <v>42</v>
      </c>
      <c r="C100">
        <v>57.329000000000001</v>
      </c>
      <c r="D100">
        <v>90</v>
      </c>
      <c r="E100">
        <v>21</v>
      </c>
      <c r="F100">
        <v>50.731999999999999</v>
      </c>
      <c r="G100">
        <f t="shared" si="2"/>
        <v>23.715924722222223</v>
      </c>
      <c r="H100">
        <f t="shared" si="3"/>
        <v>90.364092222222212</v>
      </c>
    </row>
    <row r="101" spans="1:8" x14ac:dyDescent="0.3">
      <c r="A101">
        <v>23</v>
      </c>
      <c r="B101">
        <v>42</v>
      </c>
      <c r="C101">
        <v>57.929000000000002</v>
      </c>
      <c r="D101">
        <v>90</v>
      </c>
      <c r="E101">
        <v>22</v>
      </c>
      <c r="F101">
        <v>26.010999999999999</v>
      </c>
      <c r="G101">
        <f t="shared" si="2"/>
        <v>23.716091388888888</v>
      </c>
      <c r="H101">
        <f t="shared" si="3"/>
        <v>90.373891944444438</v>
      </c>
    </row>
    <row r="102" spans="1:8" x14ac:dyDescent="0.3">
      <c r="A102">
        <v>23</v>
      </c>
      <c r="B102">
        <v>42</v>
      </c>
      <c r="C102">
        <v>58.527999999999999</v>
      </c>
      <c r="D102">
        <v>90</v>
      </c>
      <c r="E102">
        <v>23</v>
      </c>
      <c r="F102">
        <v>1.292</v>
      </c>
      <c r="G102">
        <f t="shared" si="2"/>
        <v>23.716257777777777</v>
      </c>
      <c r="H102">
        <f t="shared" si="3"/>
        <v>90.383692222222223</v>
      </c>
    </row>
    <row r="103" spans="1:8" x14ac:dyDescent="0.3">
      <c r="A103">
        <v>23</v>
      </c>
      <c r="B103">
        <v>42</v>
      </c>
      <c r="C103">
        <v>59.122999999999998</v>
      </c>
      <c r="D103">
        <v>90</v>
      </c>
      <c r="E103">
        <v>23</v>
      </c>
      <c r="F103">
        <v>36.572000000000003</v>
      </c>
      <c r="G103">
        <f t="shared" si="2"/>
        <v>23.716423055555556</v>
      </c>
      <c r="H103">
        <f t="shared" si="3"/>
        <v>90.393492222222235</v>
      </c>
    </row>
    <row r="104" spans="1:8" x14ac:dyDescent="0.3">
      <c r="A104">
        <v>23</v>
      </c>
      <c r="B104">
        <v>42</v>
      </c>
      <c r="C104">
        <v>59.716999999999999</v>
      </c>
      <c r="D104">
        <v>90</v>
      </c>
      <c r="E104">
        <v>24</v>
      </c>
      <c r="F104">
        <v>11.853</v>
      </c>
      <c r="G104">
        <f t="shared" si="2"/>
        <v>23.716588055555555</v>
      </c>
      <c r="H104">
        <f t="shared" si="3"/>
        <v>90.403292500000006</v>
      </c>
    </row>
    <row r="105" spans="1:8" x14ac:dyDescent="0.3">
      <c r="A105">
        <v>23</v>
      </c>
      <c r="B105">
        <v>43</v>
      </c>
      <c r="C105">
        <v>0.309</v>
      </c>
      <c r="D105">
        <v>90</v>
      </c>
      <c r="E105">
        <v>24</v>
      </c>
      <c r="F105">
        <v>47.134</v>
      </c>
      <c r="G105">
        <f t="shared" si="2"/>
        <v>23.716752499999998</v>
      </c>
      <c r="H105">
        <f t="shared" si="3"/>
        <v>90.413092777777777</v>
      </c>
    </row>
    <row r="106" spans="1:8" x14ac:dyDescent="0.3">
      <c r="A106">
        <v>23</v>
      </c>
      <c r="B106">
        <v>43</v>
      </c>
      <c r="C106">
        <v>0.89800000000000002</v>
      </c>
      <c r="D106">
        <v>90</v>
      </c>
      <c r="E106">
        <v>25</v>
      </c>
      <c r="F106">
        <v>22.416</v>
      </c>
      <c r="G106">
        <f t="shared" si="2"/>
        <v>23.716916111111111</v>
      </c>
      <c r="H106">
        <f t="shared" si="3"/>
        <v>90.422893333333334</v>
      </c>
    </row>
    <row r="107" spans="1:8" x14ac:dyDescent="0.3">
      <c r="A107">
        <v>23</v>
      </c>
      <c r="B107">
        <v>43</v>
      </c>
      <c r="C107">
        <v>1.4850000000000001</v>
      </c>
      <c r="D107">
        <v>90</v>
      </c>
      <c r="E107">
        <v>25</v>
      </c>
      <c r="F107">
        <v>57.698</v>
      </c>
      <c r="G107">
        <f t="shared" si="2"/>
        <v>23.717079166666664</v>
      </c>
      <c r="H107">
        <f t="shared" si="3"/>
        <v>90.432693888888892</v>
      </c>
    </row>
    <row r="108" spans="1:8" x14ac:dyDescent="0.3">
      <c r="A108">
        <v>23</v>
      </c>
      <c r="B108">
        <v>43</v>
      </c>
      <c r="C108">
        <v>2.069</v>
      </c>
      <c r="D108">
        <v>90</v>
      </c>
      <c r="E108">
        <v>26</v>
      </c>
      <c r="F108">
        <v>32.979999999999997</v>
      </c>
      <c r="G108">
        <f t="shared" si="2"/>
        <v>23.717241388888887</v>
      </c>
      <c r="H108">
        <f t="shared" si="3"/>
        <v>90.442494444444449</v>
      </c>
    </row>
    <row r="109" spans="1:8" x14ac:dyDescent="0.3">
      <c r="A109">
        <v>23</v>
      </c>
      <c r="B109">
        <v>43</v>
      </c>
      <c r="C109">
        <v>2.6520000000000001</v>
      </c>
      <c r="D109">
        <v>90</v>
      </c>
      <c r="E109">
        <v>27</v>
      </c>
      <c r="F109">
        <v>8.2620000000000005</v>
      </c>
      <c r="G109">
        <f t="shared" si="2"/>
        <v>23.717403333333333</v>
      </c>
      <c r="H109">
        <f t="shared" si="3"/>
        <v>90.452295000000007</v>
      </c>
    </row>
    <row r="110" spans="1:8" x14ac:dyDescent="0.3">
      <c r="A110">
        <v>23</v>
      </c>
      <c r="B110">
        <v>43</v>
      </c>
      <c r="C110">
        <v>3.2320000000000002</v>
      </c>
      <c r="D110">
        <v>90</v>
      </c>
      <c r="E110">
        <v>27</v>
      </c>
      <c r="F110">
        <v>43.545000000000002</v>
      </c>
      <c r="G110">
        <f t="shared" si="2"/>
        <v>23.717564444444442</v>
      </c>
      <c r="H110">
        <f t="shared" si="3"/>
        <v>90.462095833333336</v>
      </c>
    </row>
    <row r="111" spans="1:8" x14ac:dyDescent="0.3">
      <c r="A111">
        <v>23</v>
      </c>
      <c r="B111">
        <v>43</v>
      </c>
      <c r="C111">
        <v>3.81</v>
      </c>
      <c r="D111">
        <v>90</v>
      </c>
      <c r="E111">
        <v>28</v>
      </c>
      <c r="F111">
        <v>18.827999999999999</v>
      </c>
      <c r="G111">
        <f t="shared" si="2"/>
        <v>23.717724999999998</v>
      </c>
      <c r="H111">
        <f t="shared" si="3"/>
        <v>90.471896666666666</v>
      </c>
    </row>
    <row r="112" spans="1:8" x14ac:dyDescent="0.3">
      <c r="A112">
        <v>23</v>
      </c>
      <c r="B112">
        <v>43</v>
      </c>
      <c r="C112">
        <v>4.3860000000000001</v>
      </c>
      <c r="D112">
        <v>90</v>
      </c>
      <c r="E112">
        <v>28</v>
      </c>
      <c r="F112">
        <v>54.110999999999997</v>
      </c>
      <c r="G112">
        <f t="shared" si="2"/>
        <v>23.717884999999999</v>
      </c>
      <c r="H112">
        <f t="shared" si="3"/>
        <v>90.481697499999996</v>
      </c>
    </row>
    <row r="113" spans="1:8" x14ac:dyDescent="0.3">
      <c r="A113">
        <v>23</v>
      </c>
      <c r="B113">
        <v>43</v>
      </c>
      <c r="C113">
        <v>4.96</v>
      </c>
      <c r="D113">
        <v>90</v>
      </c>
      <c r="E113">
        <v>29</v>
      </c>
      <c r="F113">
        <v>29.395</v>
      </c>
      <c r="G113">
        <f t="shared" si="2"/>
        <v>23.718044444444441</v>
      </c>
      <c r="H113">
        <f t="shared" si="3"/>
        <v>90.491498611111112</v>
      </c>
    </row>
    <row r="114" spans="1:8" x14ac:dyDescent="0.3">
      <c r="A114">
        <v>23</v>
      </c>
      <c r="B114">
        <v>43</v>
      </c>
      <c r="C114">
        <v>5.5309999999999997</v>
      </c>
      <c r="D114">
        <v>90</v>
      </c>
      <c r="E114">
        <v>30</v>
      </c>
      <c r="F114">
        <v>4.6790000000000003</v>
      </c>
      <c r="G114">
        <f t="shared" si="2"/>
        <v>23.718203055555556</v>
      </c>
      <c r="H114">
        <f t="shared" si="3"/>
        <v>90.501299722222228</v>
      </c>
    </row>
    <row r="115" spans="1:8" x14ac:dyDescent="0.3">
      <c r="A115">
        <v>23</v>
      </c>
      <c r="B115">
        <v>43</v>
      </c>
      <c r="C115">
        <v>6.1</v>
      </c>
      <c r="D115">
        <v>90</v>
      </c>
      <c r="E115">
        <v>30</v>
      </c>
      <c r="F115">
        <v>39.963000000000001</v>
      </c>
      <c r="G115">
        <f t="shared" si="2"/>
        <v>23.718361111111111</v>
      </c>
      <c r="H115">
        <f t="shared" si="3"/>
        <v>90.51110083333333</v>
      </c>
    </row>
    <row r="116" spans="1:8" x14ac:dyDescent="0.3">
      <c r="A116">
        <v>23</v>
      </c>
      <c r="B116">
        <v>43</v>
      </c>
      <c r="C116">
        <v>27.997</v>
      </c>
      <c r="D116">
        <v>90</v>
      </c>
      <c r="E116">
        <v>20</v>
      </c>
      <c r="F116">
        <v>4.2329999999999997</v>
      </c>
      <c r="G116">
        <f t="shared" si="2"/>
        <v>23.724443611111109</v>
      </c>
      <c r="H116">
        <f t="shared" si="3"/>
        <v>90.334509166666663</v>
      </c>
    </row>
    <row r="117" spans="1:8" x14ac:dyDescent="0.3">
      <c r="A117">
        <v>23</v>
      </c>
      <c r="B117">
        <v>43</v>
      </c>
      <c r="C117">
        <v>28.603999999999999</v>
      </c>
      <c r="D117">
        <v>90</v>
      </c>
      <c r="E117">
        <v>20</v>
      </c>
      <c r="F117">
        <v>39.514000000000003</v>
      </c>
      <c r="G117">
        <f t="shared" si="2"/>
        <v>23.72461222222222</v>
      </c>
      <c r="H117">
        <f t="shared" si="3"/>
        <v>90.344309444444434</v>
      </c>
    </row>
    <row r="118" spans="1:8" x14ac:dyDescent="0.3">
      <c r="A118">
        <v>23</v>
      </c>
      <c r="B118">
        <v>43</v>
      </c>
      <c r="C118">
        <v>29.209</v>
      </c>
      <c r="D118">
        <v>90</v>
      </c>
      <c r="E118">
        <v>21</v>
      </c>
      <c r="F118">
        <v>14.795999999999999</v>
      </c>
      <c r="G118">
        <f t="shared" si="2"/>
        <v>23.724780277777775</v>
      </c>
      <c r="H118">
        <f t="shared" si="3"/>
        <v>90.354109999999991</v>
      </c>
    </row>
    <row r="119" spans="1:8" x14ac:dyDescent="0.3">
      <c r="A119">
        <v>23</v>
      </c>
      <c r="B119">
        <v>43</v>
      </c>
      <c r="C119">
        <v>29.812000000000001</v>
      </c>
      <c r="D119">
        <v>90</v>
      </c>
      <c r="E119">
        <v>21</v>
      </c>
      <c r="F119">
        <v>50.078000000000003</v>
      </c>
      <c r="G119">
        <f t="shared" si="2"/>
        <v>23.724947777777775</v>
      </c>
      <c r="H119">
        <f t="shared" si="3"/>
        <v>90.363910555555549</v>
      </c>
    </row>
    <row r="120" spans="1:8" x14ac:dyDescent="0.3">
      <c r="A120">
        <v>23</v>
      </c>
      <c r="B120">
        <v>43</v>
      </c>
      <c r="C120">
        <v>30.413</v>
      </c>
      <c r="D120">
        <v>90</v>
      </c>
      <c r="E120">
        <v>22</v>
      </c>
      <c r="F120">
        <v>25.36</v>
      </c>
      <c r="G120">
        <f t="shared" si="2"/>
        <v>23.725114722222219</v>
      </c>
      <c r="H120">
        <f t="shared" si="3"/>
        <v>90.373711111111106</v>
      </c>
    </row>
    <row r="121" spans="1:8" x14ac:dyDescent="0.3">
      <c r="A121">
        <v>23</v>
      </c>
      <c r="B121">
        <v>43</v>
      </c>
      <c r="C121">
        <v>31.010999999999999</v>
      </c>
      <c r="D121">
        <v>90</v>
      </c>
      <c r="E121">
        <v>23</v>
      </c>
      <c r="F121">
        <v>0.64300000000000002</v>
      </c>
      <c r="G121">
        <f t="shared" si="2"/>
        <v>23.725280833333333</v>
      </c>
      <c r="H121">
        <f t="shared" si="3"/>
        <v>90.38351194444445</v>
      </c>
    </row>
    <row r="122" spans="1:8" x14ac:dyDescent="0.3">
      <c r="A122">
        <v>23</v>
      </c>
      <c r="B122">
        <v>43</v>
      </c>
      <c r="C122">
        <v>31.606999999999999</v>
      </c>
      <c r="D122">
        <v>90</v>
      </c>
      <c r="E122">
        <v>23</v>
      </c>
      <c r="F122">
        <v>35.926000000000002</v>
      </c>
      <c r="G122">
        <f t="shared" si="2"/>
        <v>23.725446388888887</v>
      </c>
      <c r="H122">
        <f t="shared" si="3"/>
        <v>90.39331277777778</v>
      </c>
    </row>
    <row r="123" spans="1:8" x14ac:dyDescent="0.3">
      <c r="A123">
        <v>23</v>
      </c>
      <c r="B123">
        <v>43</v>
      </c>
      <c r="C123">
        <v>32.201000000000001</v>
      </c>
      <c r="D123">
        <v>90</v>
      </c>
      <c r="E123">
        <v>24</v>
      </c>
      <c r="F123">
        <v>11.209</v>
      </c>
      <c r="G123">
        <f t="shared" si="2"/>
        <v>23.725611388888886</v>
      </c>
      <c r="H123">
        <f t="shared" si="3"/>
        <v>90.403113611111124</v>
      </c>
    </row>
    <row r="124" spans="1:8" x14ac:dyDescent="0.3">
      <c r="A124">
        <v>23</v>
      </c>
      <c r="B124">
        <v>43</v>
      </c>
      <c r="C124">
        <v>32.792999999999999</v>
      </c>
      <c r="D124">
        <v>90</v>
      </c>
      <c r="E124">
        <v>24</v>
      </c>
      <c r="F124">
        <v>46.493000000000002</v>
      </c>
      <c r="G124">
        <f t="shared" si="2"/>
        <v>23.72577583333333</v>
      </c>
      <c r="H124">
        <f t="shared" si="3"/>
        <v>90.412914722222226</v>
      </c>
    </row>
    <row r="125" spans="1:8" x14ac:dyDescent="0.3">
      <c r="A125">
        <v>23</v>
      </c>
      <c r="B125">
        <v>43</v>
      </c>
      <c r="C125">
        <v>33.381999999999998</v>
      </c>
      <c r="D125">
        <v>90</v>
      </c>
      <c r="E125">
        <v>25</v>
      </c>
      <c r="F125">
        <v>21.777000000000001</v>
      </c>
      <c r="G125">
        <f t="shared" si="2"/>
        <v>23.725939444444442</v>
      </c>
      <c r="H125">
        <f t="shared" si="3"/>
        <v>90.422715833333342</v>
      </c>
    </row>
    <row r="126" spans="1:8" x14ac:dyDescent="0.3">
      <c r="A126">
        <v>23</v>
      </c>
      <c r="B126">
        <v>43</v>
      </c>
      <c r="C126">
        <v>33.969000000000001</v>
      </c>
      <c r="D126">
        <v>90</v>
      </c>
      <c r="E126">
        <v>25</v>
      </c>
      <c r="F126">
        <v>57.061</v>
      </c>
      <c r="G126">
        <f t="shared" si="2"/>
        <v>23.7261025</v>
      </c>
      <c r="H126">
        <f t="shared" si="3"/>
        <v>90.432516944444444</v>
      </c>
    </row>
    <row r="127" spans="1:8" x14ac:dyDescent="0.3">
      <c r="A127">
        <v>23</v>
      </c>
      <c r="B127">
        <v>43</v>
      </c>
      <c r="C127">
        <v>34.554000000000002</v>
      </c>
      <c r="D127">
        <v>90</v>
      </c>
      <c r="E127">
        <v>26</v>
      </c>
      <c r="F127">
        <v>32.345999999999997</v>
      </c>
      <c r="G127">
        <f t="shared" si="2"/>
        <v>23.726264999999998</v>
      </c>
      <c r="H127">
        <f t="shared" si="3"/>
        <v>90.442318333333333</v>
      </c>
    </row>
    <row r="128" spans="1:8" x14ac:dyDescent="0.3">
      <c r="A128">
        <v>23</v>
      </c>
      <c r="B128">
        <v>43</v>
      </c>
      <c r="C128">
        <v>35.137</v>
      </c>
      <c r="D128">
        <v>90</v>
      </c>
      <c r="E128">
        <v>27</v>
      </c>
      <c r="F128">
        <v>7.6310000000000002</v>
      </c>
      <c r="G128">
        <f t="shared" si="2"/>
        <v>23.726426944444444</v>
      </c>
      <c r="H128">
        <f t="shared" si="3"/>
        <v>90.452119722222221</v>
      </c>
    </row>
    <row r="129" spans="1:8" x14ac:dyDescent="0.3">
      <c r="A129">
        <v>23</v>
      </c>
      <c r="B129">
        <v>43</v>
      </c>
      <c r="C129">
        <v>35.718000000000004</v>
      </c>
      <c r="D129">
        <v>90</v>
      </c>
      <c r="E129">
        <v>27</v>
      </c>
      <c r="F129">
        <v>42.915999999999997</v>
      </c>
      <c r="G129">
        <f t="shared" si="2"/>
        <v>23.726588333333332</v>
      </c>
      <c r="H129">
        <f t="shared" si="3"/>
        <v>90.46192111111111</v>
      </c>
    </row>
    <row r="130" spans="1:8" x14ac:dyDescent="0.3">
      <c r="A130">
        <v>23</v>
      </c>
      <c r="B130">
        <v>43</v>
      </c>
      <c r="C130">
        <v>36.295999999999999</v>
      </c>
      <c r="D130">
        <v>90</v>
      </c>
      <c r="E130">
        <v>28</v>
      </c>
      <c r="F130">
        <v>18.201000000000001</v>
      </c>
      <c r="G130">
        <f t="shared" si="2"/>
        <v>23.726748888888888</v>
      </c>
      <c r="H130">
        <f t="shared" si="3"/>
        <v>90.471722499999998</v>
      </c>
    </row>
    <row r="131" spans="1:8" x14ac:dyDescent="0.3">
      <c r="A131">
        <v>23</v>
      </c>
      <c r="B131">
        <v>43</v>
      </c>
      <c r="C131">
        <v>36.872</v>
      </c>
      <c r="D131">
        <v>90</v>
      </c>
      <c r="E131">
        <v>28</v>
      </c>
      <c r="F131">
        <v>53.487000000000002</v>
      </c>
      <c r="G131">
        <f t="shared" ref="G131:G194" si="4">DecimalDegreesConverter(A131,B131,C131)</f>
        <v>23.726908888888886</v>
      </c>
      <c r="H131">
        <f t="shared" ref="H131:H194" si="5">DecimalDegreesConverter(D131,E131,F131)</f>
        <v>90.481524166666674</v>
      </c>
    </row>
    <row r="132" spans="1:8" x14ac:dyDescent="0.3">
      <c r="A132">
        <v>23</v>
      </c>
      <c r="B132">
        <v>43</v>
      </c>
      <c r="C132">
        <v>37.445999999999998</v>
      </c>
      <c r="D132">
        <v>90</v>
      </c>
      <c r="E132">
        <v>29</v>
      </c>
      <c r="F132">
        <v>28.773</v>
      </c>
      <c r="G132">
        <f t="shared" si="4"/>
        <v>23.727068333333332</v>
      </c>
      <c r="H132">
        <f t="shared" si="5"/>
        <v>90.491325833333335</v>
      </c>
    </row>
    <row r="133" spans="1:8" x14ac:dyDescent="0.3">
      <c r="A133">
        <v>23</v>
      </c>
      <c r="B133">
        <v>43</v>
      </c>
      <c r="C133">
        <v>38.017000000000003</v>
      </c>
      <c r="D133">
        <v>90</v>
      </c>
      <c r="E133">
        <v>30</v>
      </c>
      <c r="F133">
        <v>4.0599999999999996</v>
      </c>
      <c r="G133">
        <f t="shared" si="4"/>
        <v>23.727226944444443</v>
      </c>
      <c r="H133">
        <f t="shared" si="5"/>
        <v>90.501127777777782</v>
      </c>
    </row>
    <row r="134" spans="1:8" x14ac:dyDescent="0.3">
      <c r="A134">
        <v>23</v>
      </c>
      <c r="B134">
        <v>43</v>
      </c>
      <c r="C134">
        <v>38.587000000000003</v>
      </c>
      <c r="D134">
        <v>90</v>
      </c>
      <c r="E134">
        <v>30</v>
      </c>
      <c r="F134">
        <v>39.345999999999997</v>
      </c>
      <c r="G134">
        <f t="shared" si="4"/>
        <v>23.727385277777778</v>
      </c>
      <c r="H134">
        <f t="shared" si="5"/>
        <v>90.510929444444443</v>
      </c>
    </row>
    <row r="135" spans="1:8" x14ac:dyDescent="0.3">
      <c r="A135">
        <v>23</v>
      </c>
      <c r="B135">
        <v>44</v>
      </c>
      <c r="C135">
        <v>0.47899999999999998</v>
      </c>
      <c r="D135">
        <v>90</v>
      </c>
      <c r="E135">
        <v>20</v>
      </c>
      <c r="F135">
        <v>3.5720000000000001</v>
      </c>
      <c r="G135">
        <f t="shared" si="4"/>
        <v>23.733466388888889</v>
      </c>
      <c r="H135">
        <f t="shared" si="5"/>
        <v>90.334325555555552</v>
      </c>
    </row>
    <row r="136" spans="1:8" x14ac:dyDescent="0.3">
      <c r="A136">
        <v>23</v>
      </c>
      <c r="B136">
        <v>44</v>
      </c>
      <c r="C136">
        <v>1.0860000000000001</v>
      </c>
      <c r="D136">
        <v>90</v>
      </c>
      <c r="E136">
        <v>20</v>
      </c>
      <c r="F136">
        <v>38.856000000000002</v>
      </c>
      <c r="G136">
        <f t="shared" si="4"/>
        <v>23.733635</v>
      </c>
      <c r="H136">
        <f t="shared" si="5"/>
        <v>90.344126666666668</v>
      </c>
    </row>
    <row r="137" spans="1:8" x14ac:dyDescent="0.3">
      <c r="A137">
        <v>23</v>
      </c>
      <c r="B137">
        <v>44</v>
      </c>
      <c r="C137">
        <v>1.6919999999999999</v>
      </c>
      <c r="D137">
        <v>90</v>
      </c>
      <c r="E137">
        <v>21</v>
      </c>
      <c r="F137">
        <v>14.14</v>
      </c>
      <c r="G137">
        <f t="shared" si="4"/>
        <v>23.733803333333334</v>
      </c>
      <c r="H137">
        <f t="shared" si="5"/>
        <v>90.35392777777777</v>
      </c>
    </row>
    <row r="138" spans="1:8" x14ac:dyDescent="0.3">
      <c r="A138">
        <v>23</v>
      </c>
      <c r="B138">
        <v>44</v>
      </c>
      <c r="C138">
        <v>2.2949999999999999</v>
      </c>
      <c r="D138">
        <v>90</v>
      </c>
      <c r="E138">
        <v>21</v>
      </c>
      <c r="F138">
        <v>49.423999999999999</v>
      </c>
      <c r="G138">
        <f t="shared" si="4"/>
        <v>23.733970833333334</v>
      </c>
      <c r="H138">
        <f t="shared" si="5"/>
        <v>90.363728888888886</v>
      </c>
    </row>
    <row r="139" spans="1:8" x14ac:dyDescent="0.3">
      <c r="A139">
        <v>23</v>
      </c>
      <c r="B139">
        <v>44</v>
      </c>
      <c r="C139">
        <v>2.8959999999999999</v>
      </c>
      <c r="D139">
        <v>90</v>
      </c>
      <c r="E139">
        <v>22</v>
      </c>
      <c r="F139">
        <v>24.709</v>
      </c>
      <c r="G139">
        <f t="shared" si="4"/>
        <v>23.734137777777779</v>
      </c>
      <c r="H139">
        <f t="shared" si="5"/>
        <v>90.373530277777775</v>
      </c>
    </row>
    <row r="140" spans="1:8" x14ac:dyDescent="0.3">
      <c r="A140">
        <v>23</v>
      </c>
      <c r="B140">
        <v>44</v>
      </c>
      <c r="C140">
        <v>3.4940000000000002</v>
      </c>
      <c r="D140">
        <v>90</v>
      </c>
      <c r="E140">
        <v>23</v>
      </c>
      <c r="F140">
        <v>0</v>
      </c>
      <c r="G140">
        <f t="shared" si="4"/>
        <v>23.734303888888888</v>
      </c>
      <c r="H140">
        <f t="shared" si="5"/>
        <v>90.38333333333334</v>
      </c>
    </row>
    <row r="141" spans="1:8" x14ac:dyDescent="0.3">
      <c r="A141">
        <v>23</v>
      </c>
      <c r="B141">
        <v>44</v>
      </c>
      <c r="C141">
        <v>4.0910000000000002</v>
      </c>
      <c r="D141">
        <v>90</v>
      </c>
      <c r="E141">
        <v>23</v>
      </c>
      <c r="F141">
        <v>35.28</v>
      </c>
      <c r="G141">
        <f t="shared" si="4"/>
        <v>23.734469722222222</v>
      </c>
      <c r="H141">
        <f t="shared" si="5"/>
        <v>90.393133333333338</v>
      </c>
    </row>
    <row r="142" spans="1:8" x14ac:dyDescent="0.3">
      <c r="A142">
        <v>23</v>
      </c>
      <c r="B142">
        <v>44</v>
      </c>
      <c r="C142">
        <v>4.6849999999999996</v>
      </c>
      <c r="D142">
        <v>90</v>
      </c>
      <c r="E142">
        <v>24</v>
      </c>
      <c r="F142">
        <v>10.565</v>
      </c>
      <c r="G142">
        <f t="shared" si="4"/>
        <v>23.734634722222225</v>
      </c>
      <c r="H142">
        <f t="shared" si="5"/>
        <v>90.402934722222227</v>
      </c>
    </row>
    <row r="143" spans="1:8" x14ac:dyDescent="0.3">
      <c r="A143">
        <v>23</v>
      </c>
      <c r="B143">
        <v>44</v>
      </c>
      <c r="C143">
        <v>5.2770000000000001</v>
      </c>
      <c r="D143">
        <v>90</v>
      </c>
      <c r="E143">
        <v>24</v>
      </c>
      <c r="F143">
        <v>45.850999999999999</v>
      </c>
      <c r="G143">
        <f t="shared" si="4"/>
        <v>23.734799166666669</v>
      </c>
      <c r="H143">
        <f t="shared" si="5"/>
        <v>90.412736388888888</v>
      </c>
    </row>
    <row r="144" spans="1:8" x14ac:dyDescent="0.3">
      <c r="A144">
        <v>23</v>
      </c>
      <c r="B144">
        <v>44</v>
      </c>
      <c r="C144">
        <v>5.8659999999999997</v>
      </c>
      <c r="D144">
        <v>90</v>
      </c>
      <c r="E144">
        <v>25</v>
      </c>
      <c r="F144">
        <v>21.138000000000002</v>
      </c>
      <c r="G144">
        <f t="shared" si="4"/>
        <v>23.734962777777778</v>
      </c>
      <c r="H144">
        <f t="shared" si="5"/>
        <v>90.422538333333335</v>
      </c>
    </row>
    <row r="145" spans="1:8" x14ac:dyDescent="0.3">
      <c r="A145">
        <v>23</v>
      </c>
      <c r="B145">
        <v>44</v>
      </c>
      <c r="C145">
        <v>6.4539999999999997</v>
      </c>
      <c r="D145">
        <v>90</v>
      </c>
      <c r="E145">
        <v>25</v>
      </c>
      <c r="F145">
        <v>56.423999999999999</v>
      </c>
      <c r="G145">
        <f t="shared" si="4"/>
        <v>23.735126111111111</v>
      </c>
      <c r="H145">
        <f t="shared" si="5"/>
        <v>90.432340000000011</v>
      </c>
    </row>
    <row r="146" spans="1:8" x14ac:dyDescent="0.3">
      <c r="A146">
        <v>23</v>
      </c>
      <c r="B146">
        <v>44</v>
      </c>
      <c r="C146">
        <v>7.0389999999999997</v>
      </c>
      <c r="D146">
        <v>90</v>
      </c>
      <c r="E146">
        <v>26</v>
      </c>
      <c r="F146">
        <v>31.710999999999999</v>
      </c>
      <c r="G146">
        <f t="shared" si="4"/>
        <v>23.735288611111113</v>
      </c>
      <c r="H146">
        <f t="shared" si="5"/>
        <v>90.442141944444444</v>
      </c>
    </row>
    <row r="147" spans="1:8" x14ac:dyDescent="0.3">
      <c r="A147">
        <v>23</v>
      </c>
      <c r="B147">
        <v>44</v>
      </c>
      <c r="C147">
        <v>7.6219999999999999</v>
      </c>
      <c r="D147">
        <v>90</v>
      </c>
      <c r="E147">
        <v>27</v>
      </c>
      <c r="F147">
        <v>6.9989999999999997</v>
      </c>
      <c r="G147">
        <f t="shared" si="4"/>
        <v>23.735450555555555</v>
      </c>
      <c r="H147">
        <f t="shared" si="5"/>
        <v>90.451944166666664</v>
      </c>
    </row>
    <row r="148" spans="1:8" x14ac:dyDescent="0.3">
      <c r="A148">
        <v>23</v>
      </c>
      <c r="B148">
        <v>44</v>
      </c>
      <c r="C148">
        <v>8.2029999999999994</v>
      </c>
      <c r="D148">
        <v>90</v>
      </c>
      <c r="E148">
        <v>27</v>
      </c>
      <c r="F148">
        <v>42.286000000000001</v>
      </c>
      <c r="G148">
        <f t="shared" si="4"/>
        <v>23.735611944444447</v>
      </c>
      <c r="H148">
        <f t="shared" si="5"/>
        <v>90.461746111111111</v>
      </c>
    </row>
    <row r="149" spans="1:8" x14ac:dyDescent="0.3">
      <c r="A149">
        <v>23</v>
      </c>
      <c r="B149">
        <v>44</v>
      </c>
      <c r="C149">
        <v>8.7810000000000006</v>
      </c>
      <c r="D149">
        <v>90</v>
      </c>
      <c r="E149">
        <v>28</v>
      </c>
      <c r="F149">
        <v>17.574000000000002</v>
      </c>
      <c r="G149">
        <f t="shared" si="4"/>
        <v>23.735772499999999</v>
      </c>
      <c r="H149">
        <f t="shared" si="5"/>
        <v>90.471548333333331</v>
      </c>
    </row>
    <row r="150" spans="1:8" x14ac:dyDescent="0.3">
      <c r="A150">
        <v>23</v>
      </c>
      <c r="B150">
        <v>44</v>
      </c>
      <c r="C150">
        <v>9.3580000000000005</v>
      </c>
      <c r="D150">
        <v>90</v>
      </c>
      <c r="E150">
        <v>28</v>
      </c>
      <c r="F150">
        <v>52.862000000000002</v>
      </c>
      <c r="G150">
        <f t="shared" si="4"/>
        <v>23.73593277777778</v>
      </c>
      <c r="H150">
        <f t="shared" si="5"/>
        <v>90.481350555555551</v>
      </c>
    </row>
    <row r="151" spans="1:8" x14ac:dyDescent="0.3">
      <c r="A151">
        <v>23</v>
      </c>
      <c r="B151">
        <v>44</v>
      </c>
      <c r="C151">
        <v>9.9320000000000004</v>
      </c>
      <c r="D151">
        <v>90</v>
      </c>
      <c r="E151">
        <v>29</v>
      </c>
      <c r="F151">
        <v>28.151</v>
      </c>
      <c r="G151">
        <f t="shared" si="4"/>
        <v>23.736092222222222</v>
      </c>
      <c r="H151">
        <f t="shared" si="5"/>
        <v>90.491153055555557</v>
      </c>
    </row>
    <row r="152" spans="1:8" x14ac:dyDescent="0.3">
      <c r="A152">
        <v>23</v>
      </c>
      <c r="B152">
        <v>44</v>
      </c>
      <c r="C152">
        <v>10.504</v>
      </c>
      <c r="D152">
        <v>90</v>
      </c>
      <c r="E152">
        <v>30</v>
      </c>
      <c r="F152">
        <v>3.44</v>
      </c>
      <c r="G152">
        <f t="shared" si="4"/>
        <v>23.736251111111113</v>
      </c>
      <c r="H152">
        <f t="shared" si="5"/>
        <v>90.500955555555549</v>
      </c>
    </row>
    <row r="153" spans="1:8" x14ac:dyDescent="0.3">
      <c r="A153">
        <v>23</v>
      </c>
      <c r="B153">
        <v>44</v>
      </c>
      <c r="C153">
        <v>11.073</v>
      </c>
      <c r="D153">
        <v>90</v>
      </c>
      <c r="E153">
        <v>30</v>
      </c>
      <c r="F153">
        <v>38.728999999999999</v>
      </c>
      <c r="G153">
        <f t="shared" si="4"/>
        <v>23.736409166666668</v>
      </c>
      <c r="H153">
        <f t="shared" si="5"/>
        <v>90.510758055555556</v>
      </c>
    </row>
    <row r="154" spans="1:8" x14ac:dyDescent="0.3">
      <c r="A154">
        <v>23</v>
      </c>
      <c r="B154">
        <v>44</v>
      </c>
      <c r="C154">
        <v>32.960999999999999</v>
      </c>
      <c r="D154">
        <v>90</v>
      </c>
      <c r="E154">
        <v>20</v>
      </c>
      <c r="F154">
        <v>2.911</v>
      </c>
      <c r="G154">
        <f t="shared" si="4"/>
        <v>23.742489166666669</v>
      </c>
      <c r="H154">
        <f t="shared" si="5"/>
        <v>90.33414194444444</v>
      </c>
    </row>
    <row r="155" spans="1:8" x14ac:dyDescent="0.3">
      <c r="A155">
        <v>23</v>
      </c>
      <c r="B155">
        <v>44</v>
      </c>
      <c r="C155">
        <v>33.569000000000003</v>
      </c>
      <c r="D155">
        <v>90</v>
      </c>
      <c r="E155">
        <v>20</v>
      </c>
      <c r="F155">
        <v>38.197000000000003</v>
      </c>
      <c r="G155">
        <f t="shared" si="4"/>
        <v>23.742658055555555</v>
      </c>
      <c r="H155">
        <f t="shared" si="5"/>
        <v>90.343943611111101</v>
      </c>
    </row>
    <row r="156" spans="1:8" x14ac:dyDescent="0.3">
      <c r="A156">
        <v>23</v>
      </c>
      <c r="B156">
        <v>44</v>
      </c>
      <c r="C156">
        <v>34.173999999999999</v>
      </c>
      <c r="D156">
        <v>90</v>
      </c>
      <c r="E156">
        <v>21</v>
      </c>
      <c r="F156">
        <v>13.483000000000001</v>
      </c>
      <c r="G156">
        <f t="shared" si="4"/>
        <v>23.742826111111111</v>
      </c>
      <c r="H156">
        <f t="shared" si="5"/>
        <v>90.353745277777776</v>
      </c>
    </row>
    <row r="157" spans="1:8" x14ac:dyDescent="0.3">
      <c r="A157">
        <v>23</v>
      </c>
      <c r="B157">
        <v>44</v>
      </c>
      <c r="C157">
        <v>34.777000000000001</v>
      </c>
      <c r="D157">
        <v>90</v>
      </c>
      <c r="E157">
        <v>21</v>
      </c>
      <c r="F157">
        <v>48.77</v>
      </c>
      <c r="G157">
        <f t="shared" si="4"/>
        <v>23.74299361111111</v>
      </c>
      <c r="H157">
        <f t="shared" si="5"/>
        <v>90.363547222222223</v>
      </c>
    </row>
    <row r="158" spans="1:8" x14ac:dyDescent="0.3">
      <c r="A158">
        <v>23</v>
      </c>
      <c r="B158">
        <v>44</v>
      </c>
      <c r="C158">
        <v>35.378999999999998</v>
      </c>
      <c r="D158">
        <v>90</v>
      </c>
      <c r="E158">
        <v>22</v>
      </c>
      <c r="F158">
        <v>24.056999999999999</v>
      </c>
      <c r="G158">
        <f t="shared" si="4"/>
        <v>23.743160833333334</v>
      </c>
      <c r="H158">
        <f t="shared" si="5"/>
        <v>90.373349166666657</v>
      </c>
    </row>
    <row r="159" spans="1:8" x14ac:dyDescent="0.3">
      <c r="A159">
        <v>23</v>
      </c>
      <c r="B159">
        <v>44</v>
      </c>
      <c r="C159">
        <v>35.976999999999997</v>
      </c>
      <c r="D159">
        <v>90</v>
      </c>
      <c r="E159">
        <v>22</v>
      </c>
      <c r="F159">
        <v>59.344999999999999</v>
      </c>
      <c r="G159">
        <f t="shared" si="4"/>
        <v>23.743326944444444</v>
      </c>
      <c r="H159">
        <f t="shared" si="5"/>
        <v>90.383151388888876</v>
      </c>
    </row>
    <row r="160" spans="1:8" x14ac:dyDescent="0.3">
      <c r="A160">
        <v>23</v>
      </c>
      <c r="B160">
        <v>44</v>
      </c>
      <c r="C160">
        <v>36.573999999999998</v>
      </c>
      <c r="D160">
        <v>90</v>
      </c>
      <c r="E160">
        <v>23</v>
      </c>
      <c r="F160">
        <v>34.633000000000003</v>
      </c>
      <c r="G160">
        <f t="shared" si="4"/>
        <v>23.743492777777778</v>
      </c>
      <c r="H160">
        <f t="shared" si="5"/>
        <v>90.392953611111125</v>
      </c>
    </row>
    <row r="161" spans="1:8" x14ac:dyDescent="0.3">
      <c r="A161">
        <v>23</v>
      </c>
      <c r="B161">
        <v>44</v>
      </c>
      <c r="C161">
        <v>37.168999999999997</v>
      </c>
      <c r="D161">
        <v>90</v>
      </c>
      <c r="E161">
        <v>24</v>
      </c>
      <c r="F161">
        <v>9.9209999999999994</v>
      </c>
      <c r="G161">
        <f t="shared" si="4"/>
        <v>23.743658055555557</v>
      </c>
      <c r="H161">
        <f t="shared" si="5"/>
        <v>90.402755833333345</v>
      </c>
    </row>
    <row r="162" spans="1:8" x14ac:dyDescent="0.3">
      <c r="A162">
        <v>23</v>
      </c>
      <c r="B162">
        <v>44</v>
      </c>
      <c r="C162">
        <v>37.761000000000003</v>
      </c>
      <c r="D162">
        <v>90</v>
      </c>
      <c r="E162">
        <v>24</v>
      </c>
      <c r="F162">
        <v>45.209000000000003</v>
      </c>
      <c r="G162">
        <f t="shared" si="4"/>
        <v>23.7438225</v>
      </c>
      <c r="H162">
        <f t="shared" si="5"/>
        <v>90.412558055555564</v>
      </c>
    </row>
    <row r="163" spans="1:8" x14ac:dyDescent="0.3">
      <c r="A163">
        <v>23</v>
      </c>
      <c r="B163">
        <v>44</v>
      </c>
      <c r="C163">
        <v>38.350999999999999</v>
      </c>
      <c r="D163">
        <v>90</v>
      </c>
      <c r="E163">
        <v>25</v>
      </c>
      <c r="F163">
        <v>20.498000000000001</v>
      </c>
      <c r="G163">
        <f t="shared" si="4"/>
        <v>23.743986388888889</v>
      </c>
      <c r="H163">
        <f t="shared" si="5"/>
        <v>90.422360555555557</v>
      </c>
    </row>
    <row r="164" spans="1:8" x14ac:dyDescent="0.3">
      <c r="A164">
        <v>23</v>
      </c>
      <c r="B164">
        <v>44</v>
      </c>
      <c r="C164">
        <v>38.938000000000002</v>
      </c>
      <c r="D164">
        <v>90</v>
      </c>
      <c r="E164">
        <v>25</v>
      </c>
      <c r="F164">
        <v>55.786999999999999</v>
      </c>
      <c r="G164">
        <f t="shared" si="4"/>
        <v>23.744149444444446</v>
      </c>
      <c r="H164">
        <f t="shared" si="5"/>
        <v>90.432163055555563</v>
      </c>
    </row>
    <row r="165" spans="1:8" x14ac:dyDescent="0.3">
      <c r="A165">
        <v>23</v>
      </c>
      <c r="B165">
        <v>44</v>
      </c>
      <c r="C165">
        <v>39.524000000000001</v>
      </c>
      <c r="D165">
        <v>90</v>
      </c>
      <c r="E165">
        <v>26</v>
      </c>
      <c r="F165">
        <v>31.077000000000002</v>
      </c>
      <c r="G165">
        <f t="shared" si="4"/>
        <v>23.744312222222224</v>
      </c>
      <c r="H165">
        <f t="shared" si="5"/>
        <v>90.441965833333342</v>
      </c>
    </row>
    <row r="166" spans="1:8" x14ac:dyDescent="0.3">
      <c r="A166">
        <v>23</v>
      </c>
      <c r="B166">
        <v>44</v>
      </c>
      <c r="C166">
        <v>40.106999999999999</v>
      </c>
      <c r="D166">
        <v>90</v>
      </c>
      <c r="E166">
        <v>27</v>
      </c>
      <c r="F166">
        <v>6.3659999999999997</v>
      </c>
      <c r="G166">
        <f t="shared" si="4"/>
        <v>23.744474166666667</v>
      </c>
      <c r="H166">
        <f t="shared" si="5"/>
        <v>90.451768333333334</v>
      </c>
    </row>
    <row r="167" spans="1:8" x14ac:dyDescent="0.3">
      <c r="A167">
        <v>23</v>
      </c>
      <c r="B167">
        <v>44</v>
      </c>
      <c r="C167">
        <v>40.688000000000002</v>
      </c>
      <c r="D167">
        <v>90</v>
      </c>
      <c r="E167">
        <v>27</v>
      </c>
      <c r="F167">
        <v>41.655999999999999</v>
      </c>
      <c r="G167">
        <f t="shared" si="4"/>
        <v>23.744635555555558</v>
      </c>
      <c r="H167">
        <f t="shared" si="5"/>
        <v>90.461571111111112</v>
      </c>
    </row>
    <row r="168" spans="1:8" x14ac:dyDescent="0.3">
      <c r="A168">
        <v>23</v>
      </c>
      <c r="B168">
        <v>44</v>
      </c>
      <c r="C168">
        <v>41.267000000000003</v>
      </c>
      <c r="D168">
        <v>90</v>
      </c>
      <c r="E168">
        <v>28</v>
      </c>
      <c r="F168">
        <v>16.946999999999999</v>
      </c>
      <c r="G168">
        <f t="shared" si="4"/>
        <v>23.74479638888889</v>
      </c>
      <c r="H168">
        <f t="shared" si="5"/>
        <v>90.471374166666664</v>
      </c>
    </row>
    <row r="169" spans="1:8" x14ac:dyDescent="0.3">
      <c r="A169">
        <v>23</v>
      </c>
      <c r="B169">
        <v>44</v>
      </c>
      <c r="C169">
        <v>41.844000000000001</v>
      </c>
      <c r="D169">
        <v>90</v>
      </c>
      <c r="E169">
        <v>28</v>
      </c>
      <c r="F169">
        <v>52.237000000000002</v>
      </c>
      <c r="G169">
        <f t="shared" si="4"/>
        <v>23.744956666666667</v>
      </c>
      <c r="H169">
        <f t="shared" si="5"/>
        <v>90.481176944444442</v>
      </c>
    </row>
    <row r="170" spans="1:8" x14ac:dyDescent="0.3">
      <c r="A170">
        <v>23</v>
      </c>
      <c r="B170">
        <v>44</v>
      </c>
      <c r="C170">
        <v>42.417999999999999</v>
      </c>
      <c r="D170">
        <v>90</v>
      </c>
      <c r="E170">
        <v>29</v>
      </c>
      <c r="F170">
        <v>27.527999999999999</v>
      </c>
      <c r="G170">
        <f t="shared" si="4"/>
        <v>23.745116111111113</v>
      </c>
      <c r="H170">
        <f t="shared" si="5"/>
        <v>90.490980000000008</v>
      </c>
    </row>
    <row r="171" spans="1:8" x14ac:dyDescent="0.3">
      <c r="A171">
        <v>23</v>
      </c>
      <c r="B171">
        <v>44</v>
      </c>
      <c r="C171">
        <v>42.99</v>
      </c>
      <c r="D171">
        <v>90</v>
      </c>
      <c r="E171">
        <v>30</v>
      </c>
      <c r="F171">
        <v>2.82</v>
      </c>
      <c r="G171">
        <f t="shared" si="4"/>
        <v>23.745274999999999</v>
      </c>
      <c r="H171">
        <f t="shared" si="5"/>
        <v>90.500783333333331</v>
      </c>
    </row>
    <row r="172" spans="1:8" x14ac:dyDescent="0.3">
      <c r="A172">
        <v>23</v>
      </c>
      <c r="B172">
        <v>44</v>
      </c>
      <c r="C172">
        <v>43.56</v>
      </c>
      <c r="D172">
        <v>90</v>
      </c>
      <c r="E172">
        <v>30</v>
      </c>
      <c r="F172">
        <v>38.110999999999997</v>
      </c>
      <c r="G172">
        <f t="shared" si="4"/>
        <v>23.745433333333335</v>
      </c>
      <c r="H172">
        <f t="shared" si="5"/>
        <v>90.510586388888882</v>
      </c>
    </row>
    <row r="173" spans="1:8" x14ac:dyDescent="0.3">
      <c r="A173">
        <v>23</v>
      </c>
      <c r="B173">
        <v>45</v>
      </c>
      <c r="C173">
        <v>5.4429999999999996</v>
      </c>
      <c r="D173">
        <v>90</v>
      </c>
      <c r="E173">
        <v>20</v>
      </c>
      <c r="F173">
        <v>2.2490000000000001</v>
      </c>
      <c r="G173">
        <f t="shared" si="4"/>
        <v>23.751511944444445</v>
      </c>
      <c r="H173">
        <f t="shared" si="5"/>
        <v>90.333958055555556</v>
      </c>
    </row>
    <row r="174" spans="1:8" x14ac:dyDescent="0.3">
      <c r="A174">
        <v>23</v>
      </c>
      <c r="B174">
        <v>45</v>
      </c>
      <c r="C174">
        <v>6.0510000000000002</v>
      </c>
      <c r="D174">
        <v>90</v>
      </c>
      <c r="E174">
        <v>20</v>
      </c>
      <c r="F174">
        <v>37.537999999999997</v>
      </c>
      <c r="G174">
        <f t="shared" si="4"/>
        <v>23.751680833333332</v>
      </c>
      <c r="H174">
        <f t="shared" si="5"/>
        <v>90.343760555555548</v>
      </c>
    </row>
    <row r="175" spans="1:8" x14ac:dyDescent="0.3">
      <c r="A175">
        <v>23</v>
      </c>
      <c r="B175">
        <v>45</v>
      </c>
      <c r="C175">
        <v>6.657</v>
      </c>
      <c r="D175">
        <v>90</v>
      </c>
      <c r="E175">
        <v>21</v>
      </c>
      <c r="F175">
        <v>12.827</v>
      </c>
      <c r="G175">
        <f t="shared" si="4"/>
        <v>23.751849166666666</v>
      </c>
      <c r="H175">
        <f t="shared" si="5"/>
        <v>90.353563055555554</v>
      </c>
    </row>
    <row r="176" spans="1:8" x14ac:dyDescent="0.3">
      <c r="A176">
        <v>23</v>
      </c>
      <c r="B176">
        <v>45</v>
      </c>
      <c r="C176">
        <v>7.26</v>
      </c>
      <c r="D176">
        <v>90</v>
      </c>
      <c r="E176">
        <v>21</v>
      </c>
      <c r="F176">
        <v>48.116</v>
      </c>
      <c r="G176">
        <f t="shared" si="4"/>
        <v>23.752016666666666</v>
      </c>
      <c r="H176">
        <f t="shared" si="5"/>
        <v>90.363365555555546</v>
      </c>
    </row>
    <row r="177" spans="1:8" x14ac:dyDescent="0.3">
      <c r="A177">
        <v>23</v>
      </c>
      <c r="B177">
        <v>45</v>
      </c>
      <c r="C177">
        <v>7.8620000000000001</v>
      </c>
      <c r="D177">
        <v>90</v>
      </c>
      <c r="E177">
        <v>22</v>
      </c>
      <c r="F177">
        <v>23.405000000000001</v>
      </c>
      <c r="G177">
        <f t="shared" si="4"/>
        <v>23.75218388888889</v>
      </c>
      <c r="H177">
        <f t="shared" si="5"/>
        <v>90.373168055555553</v>
      </c>
    </row>
    <row r="178" spans="1:8" x14ac:dyDescent="0.3">
      <c r="A178">
        <v>23</v>
      </c>
      <c r="B178">
        <v>45</v>
      </c>
      <c r="C178">
        <v>8.4610000000000003</v>
      </c>
      <c r="D178">
        <v>90</v>
      </c>
      <c r="E178">
        <v>22</v>
      </c>
      <c r="F178">
        <v>58.695</v>
      </c>
      <c r="G178">
        <f t="shared" si="4"/>
        <v>23.752350277777779</v>
      </c>
      <c r="H178">
        <f t="shared" si="5"/>
        <v>90.382970833333331</v>
      </c>
    </row>
    <row r="179" spans="1:8" x14ac:dyDescent="0.3">
      <c r="A179">
        <v>23</v>
      </c>
      <c r="B179">
        <v>45</v>
      </c>
      <c r="C179">
        <v>9.0579999999999998</v>
      </c>
      <c r="D179">
        <v>90</v>
      </c>
      <c r="E179">
        <v>23</v>
      </c>
      <c r="F179">
        <v>33.985999999999997</v>
      </c>
      <c r="G179">
        <f t="shared" si="4"/>
        <v>23.75251611111111</v>
      </c>
      <c r="H179">
        <f t="shared" si="5"/>
        <v>90.392773888888897</v>
      </c>
    </row>
    <row r="180" spans="1:8" x14ac:dyDescent="0.3">
      <c r="A180">
        <v>23</v>
      </c>
      <c r="B180">
        <v>45</v>
      </c>
      <c r="C180">
        <v>9.6519999999999992</v>
      </c>
      <c r="D180">
        <v>90</v>
      </c>
      <c r="E180">
        <v>24</v>
      </c>
      <c r="F180">
        <v>9.2759999999999998</v>
      </c>
      <c r="G180">
        <f t="shared" si="4"/>
        <v>23.752681111111112</v>
      </c>
      <c r="H180">
        <f t="shared" si="5"/>
        <v>90.402576666666675</v>
      </c>
    </row>
    <row r="181" spans="1:8" x14ac:dyDescent="0.3">
      <c r="A181">
        <v>23</v>
      </c>
      <c r="B181">
        <v>45</v>
      </c>
      <c r="C181">
        <v>10.244999999999999</v>
      </c>
      <c r="D181">
        <v>90</v>
      </c>
      <c r="E181">
        <v>24</v>
      </c>
      <c r="F181">
        <v>44.567</v>
      </c>
      <c r="G181">
        <f t="shared" si="4"/>
        <v>23.752845833333332</v>
      </c>
      <c r="H181">
        <f t="shared" si="5"/>
        <v>90.412379722222227</v>
      </c>
    </row>
    <row r="182" spans="1:8" x14ac:dyDescent="0.3">
      <c r="A182">
        <v>23</v>
      </c>
      <c r="B182">
        <v>45</v>
      </c>
      <c r="C182">
        <v>10.835000000000001</v>
      </c>
      <c r="D182">
        <v>90</v>
      </c>
      <c r="E182">
        <v>25</v>
      </c>
      <c r="F182">
        <v>19.858000000000001</v>
      </c>
      <c r="G182">
        <f t="shared" si="4"/>
        <v>23.753009722222224</v>
      </c>
      <c r="H182">
        <f t="shared" si="5"/>
        <v>90.422182777777778</v>
      </c>
    </row>
    <row r="183" spans="1:8" x14ac:dyDescent="0.3">
      <c r="A183">
        <v>23</v>
      </c>
      <c r="B183">
        <v>45</v>
      </c>
      <c r="C183">
        <v>11.423</v>
      </c>
      <c r="D183">
        <v>90</v>
      </c>
      <c r="E183">
        <v>25</v>
      </c>
      <c r="F183">
        <v>55.15</v>
      </c>
      <c r="G183">
        <f t="shared" si="4"/>
        <v>23.753173055555557</v>
      </c>
      <c r="H183">
        <f t="shared" si="5"/>
        <v>90.431986111111115</v>
      </c>
    </row>
    <row r="184" spans="1:8" x14ac:dyDescent="0.3">
      <c r="A184">
        <v>23</v>
      </c>
      <c r="B184">
        <v>45</v>
      </c>
      <c r="C184">
        <v>12.009</v>
      </c>
      <c r="D184">
        <v>90</v>
      </c>
      <c r="E184">
        <v>26</v>
      </c>
      <c r="F184">
        <v>30.442</v>
      </c>
      <c r="G184">
        <f t="shared" si="4"/>
        <v>23.753335833333335</v>
      </c>
      <c r="H184">
        <f t="shared" si="5"/>
        <v>90.441789444444453</v>
      </c>
    </row>
    <row r="185" spans="1:8" x14ac:dyDescent="0.3">
      <c r="A185">
        <v>23</v>
      </c>
      <c r="B185">
        <v>45</v>
      </c>
      <c r="C185">
        <v>12.592000000000001</v>
      </c>
      <c r="D185">
        <v>90</v>
      </c>
      <c r="E185">
        <v>27</v>
      </c>
      <c r="F185">
        <v>5.734</v>
      </c>
      <c r="G185">
        <f t="shared" si="4"/>
        <v>23.753497777777778</v>
      </c>
      <c r="H185">
        <f t="shared" si="5"/>
        <v>90.451592777777776</v>
      </c>
    </row>
    <row r="186" spans="1:8" x14ac:dyDescent="0.3">
      <c r="A186">
        <v>23</v>
      </c>
      <c r="B186">
        <v>45</v>
      </c>
      <c r="C186">
        <v>13.173</v>
      </c>
      <c r="D186">
        <v>90</v>
      </c>
      <c r="E186">
        <v>27</v>
      </c>
      <c r="F186">
        <v>41.026000000000003</v>
      </c>
      <c r="G186">
        <f t="shared" si="4"/>
        <v>23.753659166666665</v>
      </c>
      <c r="H186">
        <f t="shared" si="5"/>
        <v>90.461396111111114</v>
      </c>
    </row>
    <row r="187" spans="1:8" x14ac:dyDescent="0.3">
      <c r="A187">
        <v>23</v>
      </c>
      <c r="B187">
        <v>45</v>
      </c>
      <c r="C187">
        <v>13.752000000000001</v>
      </c>
      <c r="D187">
        <v>90</v>
      </c>
      <c r="E187">
        <v>28</v>
      </c>
      <c r="F187">
        <v>16.318999999999999</v>
      </c>
      <c r="G187">
        <f t="shared" si="4"/>
        <v>23.753820000000001</v>
      </c>
      <c r="H187">
        <f t="shared" si="5"/>
        <v>90.471199722222224</v>
      </c>
    </row>
    <row r="188" spans="1:8" x14ac:dyDescent="0.3">
      <c r="A188">
        <v>23</v>
      </c>
      <c r="B188">
        <v>45</v>
      </c>
      <c r="C188">
        <v>14.329000000000001</v>
      </c>
      <c r="D188">
        <v>90</v>
      </c>
      <c r="E188">
        <v>28</v>
      </c>
      <c r="F188">
        <v>51.612000000000002</v>
      </c>
      <c r="G188">
        <f t="shared" si="4"/>
        <v>23.753980277777778</v>
      </c>
      <c r="H188">
        <f t="shared" si="5"/>
        <v>90.481003333333334</v>
      </c>
    </row>
    <row r="189" spans="1:8" x14ac:dyDescent="0.3">
      <c r="A189">
        <v>23</v>
      </c>
      <c r="B189">
        <v>45</v>
      </c>
      <c r="C189">
        <v>14.904</v>
      </c>
      <c r="D189">
        <v>90</v>
      </c>
      <c r="E189">
        <v>29</v>
      </c>
      <c r="F189">
        <v>26.905999999999999</v>
      </c>
      <c r="G189">
        <f t="shared" si="4"/>
        <v>23.75414</v>
      </c>
      <c r="H189">
        <f t="shared" si="5"/>
        <v>90.49080722222223</v>
      </c>
    </row>
    <row r="190" spans="1:8" x14ac:dyDescent="0.3">
      <c r="A190">
        <v>23</v>
      </c>
      <c r="B190">
        <v>45</v>
      </c>
      <c r="C190">
        <v>15.476000000000001</v>
      </c>
      <c r="D190">
        <v>90</v>
      </c>
      <c r="E190">
        <v>30</v>
      </c>
      <c r="F190">
        <v>2.1989999999999998</v>
      </c>
      <c r="G190">
        <f t="shared" si="4"/>
        <v>23.75429888888889</v>
      </c>
      <c r="H190">
        <f t="shared" si="5"/>
        <v>90.50061083333334</v>
      </c>
    </row>
    <row r="191" spans="1:8" x14ac:dyDescent="0.3">
      <c r="A191">
        <v>23</v>
      </c>
      <c r="B191">
        <v>45</v>
      </c>
      <c r="C191">
        <v>16.045999999999999</v>
      </c>
      <c r="D191">
        <v>90</v>
      </c>
      <c r="E191">
        <v>30</v>
      </c>
      <c r="F191">
        <v>37.493000000000002</v>
      </c>
      <c r="G191">
        <f t="shared" si="4"/>
        <v>23.754457222222221</v>
      </c>
      <c r="H191">
        <f t="shared" si="5"/>
        <v>90.510414722222222</v>
      </c>
    </row>
    <row r="192" spans="1:8" x14ac:dyDescent="0.3">
      <c r="A192">
        <v>23</v>
      </c>
      <c r="B192">
        <v>45</v>
      </c>
      <c r="C192">
        <v>37.924999999999997</v>
      </c>
      <c r="D192">
        <v>90</v>
      </c>
      <c r="E192">
        <v>20</v>
      </c>
      <c r="F192">
        <v>1.587</v>
      </c>
      <c r="G192">
        <f t="shared" si="4"/>
        <v>23.760534722222221</v>
      </c>
      <c r="H192">
        <f t="shared" si="5"/>
        <v>90.333774166666657</v>
      </c>
    </row>
    <row r="193" spans="1:8" x14ac:dyDescent="0.3">
      <c r="A193">
        <v>23</v>
      </c>
      <c r="B193">
        <v>45</v>
      </c>
      <c r="C193">
        <v>38.533000000000001</v>
      </c>
      <c r="D193">
        <v>90</v>
      </c>
      <c r="E193">
        <v>20</v>
      </c>
      <c r="F193">
        <v>36.878</v>
      </c>
      <c r="G193">
        <f t="shared" si="4"/>
        <v>23.760703611111111</v>
      </c>
      <c r="H193">
        <f t="shared" si="5"/>
        <v>90.343577222222223</v>
      </c>
    </row>
    <row r="194" spans="1:8" x14ac:dyDescent="0.3">
      <c r="A194">
        <v>23</v>
      </c>
      <c r="B194">
        <v>45</v>
      </c>
      <c r="C194">
        <v>39.139000000000003</v>
      </c>
      <c r="D194">
        <v>90</v>
      </c>
      <c r="E194">
        <v>21</v>
      </c>
      <c r="F194">
        <v>12.169</v>
      </c>
      <c r="G194">
        <f t="shared" si="4"/>
        <v>23.760871944444446</v>
      </c>
      <c r="H194">
        <f t="shared" si="5"/>
        <v>90.353380277777774</v>
      </c>
    </row>
    <row r="195" spans="1:8" x14ac:dyDescent="0.3">
      <c r="A195">
        <v>23</v>
      </c>
      <c r="B195">
        <v>45</v>
      </c>
      <c r="C195">
        <v>39.743000000000002</v>
      </c>
      <c r="D195">
        <v>90</v>
      </c>
      <c r="E195">
        <v>21</v>
      </c>
      <c r="F195">
        <v>47.460999999999999</v>
      </c>
      <c r="G195">
        <f t="shared" ref="G195:G258" si="6">DecimalDegreesConverter(A195,B195,C195)</f>
        <v>23.761039722222222</v>
      </c>
      <c r="H195">
        <f t="shared" ref="H195:H258" si="7">DecimalDegreesConverter(D195,E195,F195)</f>
        <v>90.363183611111111</v>
      </c>
    </row>
    <row r="196" spans="1:8" x14ac:dyDescent="0.3">
      <c r="A196">
        <v>23</v>
      </c>
      <c r="B196">
        <v>45</v>
      </c>
      <c r="C196">
        <v>40.344000000000001</v>
      </c>
      <c r="D196">
        <v>90</v>
      </c>
      <c r="E196">
        <v>22</v>
      </c>
      <c r="F196">
        <v>22.753</v>
      </c>
      <c r="G196">
        <f t="shared" si="6"/>
        <v>23.761206666666666</v>
      </c>
      <c r="H196">
        <f t="shared" si="7"/>
        <v>90.372986944444435</v>
      </c>
    </row>
    <row r="197" spans="1:8" x14ac:dyDescent="0.3">
      <c r="A197">
        <v>23</v>
      </c>
      <c r="B197">
        <v>45</v>
      </c>
      <c r="C197">
        <v>40.944000000000003</v>
      </c>
      <c r="D197">
        <v>90</v>
      </c>
      <c r="E197">
        <v>22</v>
      </c>
      <c r="F197">
        <v>58.045999999999999</v>
      </c>
      <c r="G197">
        <f t="shared" si="6"/>
        <v>23.761373333333335</v>
      </c>
      <c r="H197">
        <f t="shared" si="7"/>
        <v>90.382790555555545</v>
      </c>
    </row>
    <row r="198" spans="1:8" x14ac:dyDescent="0.3">
      <c r="A198">
        <v>23</v>
      </c>
      <c r="B198">
        <v>45</v>
      </c>
      <c r="C198">
        <v>41.540999999999997</v>
      </c>
      <c r="D198">
        <v>90</v>
      </c>
      <c r="E198">
        <v>23</v>
      </c>
      <c r="F198">
        <v>33.338000000000001</v>
      </c>
      <c r="G198">
        <f t="shared" si="6"/>
        <v>23.761539166666665</v>
      </c>
      <c r="H198">
        <f t="shared" si="7"/>
        <v>90.392593888888896</v>
      </c>
    </row>
    <row r="199" spans="1:8" x14ac:dyDescent="0.3">
      <c r="A199">
        <v>23</v>
      </c>
      <c r="B199">
        <v>45</v>
      </c>
      <c r="C199">
        <v>42.136000000000003</v>
      </c>
      <c r="D199">
        <v>90</v>
      </c>
      <c r="E199">
        <v>24</v>
      </c>
      <c r="F199">
        <v>8.6310000000000002</v>
      </c>
      <c r="G199">
        <f t="shared" si="6"/>
        <v>23.761704444444444</v>
      </c>
      <c r="H199">
        <f t="shared" si="7"/>
        <v>90.402397500000006</v>
      </c>
    </row>
    <row r="200" spans="1:8" x14ac:dyDescent="0.3">
      <c r="A200">
        <v>23</v>
      </c>
      <c r="B200">
        <v>45</v>
      </c>
      <c r="C200">
        <v>42.728999999999999</v>
      </c>
      <c r="D200">
        <v>90</v>
      </c>
      <c r="E200">
        <v>24</v>
      </c>
      <c r="F200">
        <v>43.924999999999997</v>
      </c>
      <c r="G200">
        <f t="shared" si="6"/>
        <v>23.761869166666667</v>
      </c>
      <c r="H200">
        <f t="shared" si="7"/>
        <v>90.412201388888889</v>
      </c>
    </row>
    <row r="201" spans="1:8" x14ac:dyDescent="0.3">
      <c r="A201">
        <v>23</v>
      </c>
      <c r="B201">
        <v>45</v>
      </c>
      <c r="C201">
        <v>43.319000000000003</v>
      </c>
      <c r="D201">
        <v>90</v>
      </c>
      <c r="E201">
        <v>25</v>
      </c>
      <c r="F201">
        <v>19.218</v>
      </c>
      <c r="G201">
        <f t="shared" si="6"/>
        <v>23.762033055555555</v>
      </c>
      <c r="H201">
        <f t="shared" si="7"/>
        <v>90.422004999999999</v>
      </c>
    </row>
    <row r="202" spans="1:8" x14ac:dyDescent="0.3">
      <c r="A202">
        <v>23</v>
      </c>
      <c r="B202">
        <v>45</v>
      </c>
      <c r="C202">
        <v>43.906999999999996</v>
      </c>
      <c r="D202">
        <v>90</v>
      </c>
      <c r="E202">
        <v>25</v>
      </c>
      <c r="F202">
        <v>54.512</v>
      </c>
      <c r="G202">
        <f t="shared" si="6"/>
        <v>23.762196388888889</v>
      </c>
      <c r="H202">
        <f t="shared" si="7"/>
        <v>90.431808888888895</v>
      </c>
    </row>
    <row r="203" spans="1:8" x14ac:dyDescent="0.3">
      <c r="A203">
        <v>23</v>
      </c>
      <c r="B203">
        <v>45</v>
      </c>
      <c r="C203">
        <v>44.493000000000002</v>
      </c>
      <c r="D203">
        <v>90</v>
      </c>
      <c r="E203">
        <v>26</v>
      </c>
      <c r="F203">
        <v>29.806000000000001</v>
      </c>
      <c r="G203">
        <f t="shared" si="6"/>
        <v>23.762359166666666</v>
      </c>
      <c r="H203">
        <f t="shared" si="7"/>
        <v>90.441612777777777</v>
      </c>
    </row>
    <row r="204" spans="1:8" x14ac:dyDescent="0.3">
      <c r="A204">
        <v>23</v>
      </c>
      <c r="B204">
        <v>45</v>
      </c>
      <c r="C204">
        <v>45.076999999999998</v>
      </c>
      <c r="D204">
        <v>90</v>
      </c>
      <c r="E204">
        <v>27</v>
      </c>
      <c r="F204">
        <v>5.101</v>
      </c>
      <c r="G204">
        <f t="shared" si="6"/>
        <v>23.762521388888889</v>
      </c>
      <c r="H204">
        <f t="shared" si="7"/>
        <v>90.451416944444446</v>
      </c>
    </row>
    <row r="205" spans="1:8" x14ac:dyDescent="0.3">
      <c r="A205">
        <v>23</v>
      </c>
      <c r="B205">
        <v>45</v>
      </c>
      <c r="C205">
        <v>45.658999999999999</v>
      </c>
      <c r="D205">
        <v>90</v>
      </c>
      <c r="E205">
        <v>27</v>
      </c>
      <c r="F205">
        <v>40.396000000000001</v>
      </c>
      <c r="G205">
        <f t="shared" si="6"/>
        <v>23.762683055555556</v>
      </c>
      <c r="H205">
        <f t="shared" si="7"/>
        <v>90.461221111111115</v>
      </c>
    </row>
    <row r="206" spans="1:8" x14ac:dyDescent="0.3">
      <c r="A206">
        <v>23</v>
      </c>
      <c r="B206">
        <v>45</v>
      </c>
      <c r="C206">
        <v>46.238</v>
      </c>
      <c r="D206">
        <v>90</v>
      </c>
      <c r="E206">
        <v>28</v>
      </c>
      <c r="F206">
        <v>15.691000000000001</v>
      </c>
      <c r="G206">
        <f t="shared" si="6"/>
        <v>23.762843888888888</v>
      </c>
      <c r="H206">
        <f t="shared" si="7"/>
        <v>90.471025277777784</v>
      </c>
    </row>
    <row r="207" spans="1:8" x14ac:dyDescent="0.3">
      <c r="A207">
        <v>23</v>
      </c>
      <c r="B207">
        <v>45</v>
      </c>
      <c r="C207">
        <v>46.814999999999998</v>
      </c>
      <c r="D207">
        <v>90</v>
      </c>
      <c r="E207">
        <v>28</v>
      </c>
      <c r="F207">
        <v>50.987000000000002</v>
      </c>
      <c r="G207">
        <f t="shared" si="6"/>
        <v>23.763004166666665</v>
      </c>
      <c r="H207">
        <f t="shared" si="7"/>
        <v>90.480829722222225</v>
      </c>
    </row>
    <row r="208" spans="1:8" x14ac:dyDescent="0.3">
      <c r="A208">
        <v>23</v>
      </c>
      <c r="B208">
        <v>45</v>
      </c>
      <c r="C208">
        <v>47.39</v>
      </c>
      <c r="D208">
        <v>90</v>
      </c>
      <c r="E208">
        <v>29</v>
      </c>
      <c r="F208">
        <v>26.282</v>
      </c>
      <c r="G208">
        <f t="shared" si="6"/>
        <v>23.76316388888889</v>
      </c>
      <c r="H208">
        <f t="shared" si="7"/>
        <v>90.490633888888894</v>
      </c>
    </row>
    <row r="209" spans="1:8" x14ac:dyDescent="0.3">
      <c r="A209">
        <v>23</v>
      </c>
      <c r="B209">
        <v>45</v>
      </c>
      <c r="C209">
        <v>47.962000000000003</v>
      </c>
      <c r="D209">
        <v>90</v>
      </c>
      <c r="E209">
        <v>30</v>
      </c>
      <c r="F209">
        <v>1.579</v>
      </c>
      <c r="G209">
        <f t="shared" si="6"/>
        <v>23.763322777777777</v>
      </c>
      <c r="H209">
        <f t="shared" si="7"/>
        <v>90.500438611111107</v>
      </c>
    </row>
    <row r="210" spans="1:8" x14ac:dyDescent="0.3">
      <c r="A210">
        <v>23</v>
      </c>
      <c r="B210">
        <v>45</v>
      </c>
      <c r="C210">
        <v>48.533000000000001</v>
      </c>
      <c r="D210">
        <v>90</v>
      </c>
      <c r="E210">
        <v>30</v>
      </c>
      <c r="F210">
        <v>36.875</v>
      </c>
      <c r="G210">
        <f t="shared" si="6"/>
        <v>23.763481388888888</v>
      </c>
      <c r="H210">
        <f t="shared" si="7"/>
        <v>90.510243055555549</v>
      </c>
    </row>
    <row r="211" spans="1:8" x14ac:dyDescent="0.3">
      <c r="A211">
        <v>23</v>
      </c>
      <c r="B211">
        <v>46</v>
      </c>
      <c r="C211">
        <v>10.406000000000001</v>
      </c>
      <c r="D211">
        <v>90</v>
      </c>
      <c r="E211">
        <v>20</v>
      </c>
      <c r="F211">
        <v>0.92500000000000004</v>
      </c>
      <c r="G211">
        <f t="shared" si="6"/>
        <v>23.769557222222222</v>
      </c>
      <c r="H211">
        <f t="shared" si="7"/>
        <v>90.333590277777773</v>
      </c>
    </row>
    <row r="212" spans="1:8" x14ac:dyDescent="0.3">
      <c r="A212">
        <v>23</v>
      </c>
      <c r="B212">
        <v>46</v>
      </c>
      <c r="C212">
        <v>11.015000000000001</v>
      </c>
      <c r="D212">
        <v>90</v>
      </c>
      <c r="E212">
        <v>20</v>
      </c>
      <c r="F212">
        <v>36.218000000000004</v>
      </c>
      <c r="G212">
        <f t="shared" si="6"/>
        <v>23.769726388888888</v>
      </c>
      <c r="H212">
        <f t="shared" si="7"/>
        <v>90.343393888888883</v>
      </c>
    </row>
    <row r="213" spans="1:8" x14ac:dyDescent="0.3">
      <c r="A213">
        <v>23</v>
      </c>
      <c r="B213">
        <v>46</v>
      </c>
      <c r="C213">
        <v>11.621</v>
      </c>
      <c r="D213">
        <v>90</v>
      </c>
      <c r="E213">
        <v>21</v>
      </c>
      <c r="F213">
        <v>11.512</v>
      </c>
      <c r="G213">
        <f t="shared" si="6"/>
        <v>23.769894722222222</v>
      </c>
      <c r="H213">
        <f t="shared" si="7"/>
        <v>90.353197777777766</v>
      </c>
    </row>
    <row r="214" spans="1:8" x14ac:dyDescent="0.3">
      <c r="A214">
        <v>23</v>
      </c>
      <c r="B214">
        <v>46</v>
      </c>
      <c r="C214">
        <v>12.225</v>
      </c>
      <c r="D214">
        <v>90</v>
      </c>
      <c r="E214">
        <v>21</v>
      </c>
      <c r="F214">
        <v>46.805999999999997</v>
      </c>
      <c r="G214">
        <f t="shared" si="6"/>
        <v>23.770062499999998</v>
      </c>
      <c r="H214">
        <f t="shared" si="7"/>
        <v>90.363001666666662</v>
      </c>
    </row>
    <row r="215" spans="1:8" x14ac:dyDescent="0.3">
      <c r="A215">
        <v>23</v>
      </c>
      <c r="B215">
        <v>46</v>
      </c>
      <c r="C215">
        <v>12.827</v>
      </c>
      <c r="D215">
        <v>90</v>
      </c>
      <c r="E215">
        <v>22</v>
      </c>
      <c r="F215">
        <v>22.100999999999999</v>
      </c>
      <c r="G215">
        <f t="shared" si="6"/>
        <v>23.770229722222222</v>
      </c>
      <c r="H215">
        <f t="shared" si="7"/>
        <v>90.372805833333331</v>
      </c>
    </row>
    <row r="216" spans="1:8" x14ac:dyDescent="0.3">
      <c r="A216">
        <v>23</v>
      </c>
      <c r="B216">
        <v>46</v>
      </c>
      <c r="C216">
        <v>13.427</v>
      </c>
      <c r="D216">
        <v>90</v>
      </c>
      <c r="E216">
        <v>22</v>
      </c>
      <c r="F216">
        <v>57.395000000000003</v>
      </c>
      <c r="G216">
        <f t="shared" si="6"/>
        <v>23.770396388888887</v>
      </c>
      <c r="H216">
        <f t="shared" si="7"/>
        <v>90.382609722222213</v>
      </c>
    </row>
    <row r="217" spans="1:8" x14ac:dyDescent="0.3">
      <c r="A217">
        <v>23</v>
      </c>
      <c r="B217">
        <v>46</v>
      </c>
      <c r="C217">
        <v>14.023999999999999</v>
      </c>
      <c r="D217">
        <v>90</v>
      </c>
      <c r="E217">
        <v>23</v>
      </c>
      <c r="F217">
        <v>32.69</v>
      </c>
      <c r="G217">
        <f t="shared" si="6"/>
        <v>23.770562222222221</v>
      </c>
      <c r="H217">
        <f t="shared" si="7"/>
        <v>90.392413888888896</v>
      </c>
    </row>
    <row r="218" spans="1:8" x14ac:dyDescent="0.3">
      <c r="A218">
        <v>23</v>
      </c>
      <c r="B218">
        <v>46</v>
      </c>
      <c r="C218">
        <v>14.62</v>
      </c>
      <c r="D218">
        <v>90</v>
      </c>
      <c r="E218">
        <v>24</v>
      </c>
      <c r="F218">
        <v>7.9859999999999998</v>
      </c>
      <c r="G218">
        <f t="shared" si="6"/>
        <v>23.770727777777775</v>
      </c>
      <c r="H218">
        <f t="shared" si="7"/>
        <v>90.402218333333337</v>
      </c>
    </row>
    <row r="219" spans="1:8" x14ac:dyDescent="0.3">
      <c r="A219">
        <v>23</v>
      </c>
      <c r="B219">
        <v>46</v>
      </c>
      <c r="C219">
        <v>15.212999999999999</v>
      </c>
      <c r="D219">
        <v>90</v>
      </c>
      <c r="E219">
        <v>24</v>
      </c>
      <c r="F219">
        <v>43.281999999999996</v>
      </c>
      <c r="G219">
        <f t="shared" si="6"/>
        <v>23.770892499999999</v>
      </c>
      <c r="H219">
        <f t="shared" si="7"/>
        <v>90.412022777777779</v>
      </c>
    </row>
    <row r="220" spans="1:8" x14ac:dyDescent="0.3">
      <c r="A220">
        <v>23</v>
      </c>
      <c r="B220">
        <v>46</v>
      </c>
      <c r="C220">
        <v>15.803000000000001</v>
      </c>
      <c r="D220">
        <v>90</v>
      </c>
      <c r="E220">
        <v>25</v>
      </c>
      <c r="F220">
        <v>18.577999999999999</v>
      </c>
      <c r="G220">
        <f t="shared" si="6"/>
        <v>23.771056388888887</v>
      </c>
      <c r="H220">
        <f t="shared" si="7"/>
        <v>90.421827222222234</v>
      </c>
    </row>
    <row r="221" spans="1:8" x14ac:dyDescent="0.3">
      <c r="A221">
        <v>23</v>
      </c>
      <c r="B221">
        <v>46</v>
      </c>
      <c r="C221">
        <v>16.391999999999999</v>
      </c>
      <c r="D221">
        <v>90</v>
      </c>
      <c r="E221">
        <v>25</v>
      </c>
      <c r="F221">
        <v>53.874000000000002</v>
      </c>
      <c r="G221">
        <f t="shared" si="6"/>
        <v>23.77122</v>
      </c>
      <c r="H221">
        <f t="shared" si="7"/>
        <v>90.431631666666675</v>
      </c>
    </row>
    <row r="222" spans="1:8" x14ac:dyDescent="0.3">
      <c r="A222">
        <v>23</v>
      </c>
      <c r="B222">
        <v>46</v>
      </c>
      <c r="C222">
        <v>16.978000000000002</v>
      </c>
      <c r="D222">
        <v>90</v>
      </c>
      <c r="E222">
        <v>26</v>
      </c>
      <c r="F222">
        <v>29.170999999999999</v>
      </c>
      <c r="G222">
        <f t="shared" si="6"/>
        <v>23.771382777777777</v>
      </c>
      <c r="H222">
        <f t="shared" si="7"/>
        <v>90.441436388888889</v>
      </c>
    </row>
    <row r="223" spans="1:8" x14ac:dyDescent="0.3">
      <c r="A223">
        <v>23</v>
      </c>
      <c r="B223">
        <v>46</v>
      </c>
      <c r="C223">
        <v>17.562000000000001</v>
      </c>
      <c r="D223">
        <v>90</v>
      </c>
      <c r="E223">
        <v>27</v>
      </c>
      <c r="F223">
        <v>4.468</v>
      </c>
      <c r="G223">
        <f t="shared" si="6"/>
        <v>23.771545</v>
      </c>
      <c r="H223">
        <f t="shared" si="7"/>
        <v>90.451241111111116</v>
      </c>
    </row>
    <row r="224" spans="1:8" x14ac:dyDescent="0.3">
      <c r="A224">
        <v>23</v>
      </c>
      <c r="B224">
        <v>46</v>
      </c>
      <c r="C224">
        <v>18.143999999999998</v>
      </c>
      <c r="D224">
        <v>90</v>
      </c>
      <c r="E224">
        <v>27</v>
      </c>
      <c r="F224">
        <v>39.765000000000001</v>
      </c>
      <c r="G224">
        <f t="shared" si="6"/>
        <v>23.771706666666667</v>
      </c>
      <c r="H224">
        <f t="shared" si="7"/>
        <v>90.46104583333333</v>
      </c>
    </row>
    <row r="225" spans="1:8" x14ac:dyDescent="0.3">
      <c r="A225">
        <v>23</v>
      </c>
      <c r="B225">
        <v>46</v>
      </c>
      <c r="C225">
        <v>18.722999999999999</v>
      </c>
      <c r="D225">
        <v>90</v>
      </c>
      <c r="E225">
        <v>28</v>
      </c>
      <c r="F225">
        <v>15.063000000000001</v>
      </c>
      <c r="G225">
        <f t="shared" si="6"/>
        <v>23.771867499999999</v>
      </c>
      <c r="H225">
        <f t="shared" si="7"/>
        <v>90.47085083333333</v>
      </c>
    </row>
    <row r="226" spans="1:8" x14ac:dyDescent="0.3">
      <c r="A226">
        <v>23</v>
      </c>
      <c r="B226">
        <v>46</v>
      </c>
      <c r="C226">
        <v>19.300999999999998</v>
      </c>
      <c r="D226">
        <v>90</v>
      </c>
      <c r="E226">
        <v>28</v>
      </c>
      <c r="F226">
        <v>50.360999999999997</v>
      </c>
      <c r="G226">
        <f t="shared" si="6"/>
        <v>23.772028055555555</v>
      </c>
      <c r="H226">
        <f t="shared" si="7"/>
        <v>90.48065583333333</v>
      </c>
    </row>
    <row r="227" spans="1:8" x14ac:dyDescent="0.3">
      <c r="A227">
        <v>23</v>
      </c>
      <c r="B227">
        <v>46</v>
      </c>
      <c r="C227">
        <v>19.876000000000001</v>
      </c>
      <c r="D227">
        <v>90</v>
      </c>
      <c r="E227">
        <v>29</v>
      </c>
      <c r="F227">
        <v>25.658999999999999</v>
      </c>
      <c r="G227">
        <f t="shared" si="6"/>
        <v>23.772187777777777</v>
      </c>
      <c r="H227">
        <f t="shared" si="7"/>
        <v>90.49046083333333</v>
      </c>
    </row>
    <row r="228" spans="1:8" x14ac:dyDescent="0.3">
      <c r="A228">
        <v>23</v>
      </c>
      <c r="B228">
        <v>46</v>
      </c>
      <c r="C228">
        <v>20.448</v>
      </c>
      <c r="D228">
        <v>90</v>
      </c>
      <c r="E228">
        <v>30</v>
      </c>
      <c r="F228">
        <v>0.95699999999999996</v>
      </c>
      <c r="G228">
        <f t="shared" si="6"/>
        <v>23.772346666666667</v>
      </c>
      <c r="H228">
        <f t="shared" si="7"/>
        <v>90.50026583333333</v>
      </c>
    </row>
    <row r="229" spans="1:8" x14ac:dyDescent="0.3">
      <c r="A229">
        <v>23</v>
      </c>
      <c r="B229">
        <v>46</v>
      </c>
      <c r="C229">
        <v>21.018999999999998</v>
      </c>
      <c r="D229">
        <v>90</v>
      </c>
      <c r="E229">
        <v>30</v>
      </c>
      <c r="F229">
        <v>36.256</v>
      </c>
      <c r="G229">
        <f t="shared" si="6"/>
        <v>23.772505277777778</v>
      </c>
      <c r="H229">
        <f t="shared" si="7"/>
        <v>90.510071111111117</v>
      </c>
    </row>
    <row r="230" spans="1:8" x14ac:dyDescent="0.3">
      <c r="A230">
        <v>23</v>
      </c>
      <c r="B230">
        <v>46</v>
      </c>
      <c r="C230">
        <v>42.887999999999998</v>
      </c>
      <c r="D230">
        <v>90</v>
      </c>
      <c r="E230">
        <v>20</v>
      </c>
      <c r="F230">
        <v>0.26200000000000001</v>
      </c>
      <c r="G230">
        <f t="shared" si="6"/>
        <v>23.778579999999998</v>
      </c>
      <c r="H230">
        <f t="shared" si="7"/>
        <v>90.333406111111103</v>
      </c>
    </row>
    <row r="231" spans="1:8" x14ac:dyDescent="0.3">
      <c r="A231">
        <v>23</v>
      </c>
      <c r="B231">
        <v>46</v>
      </c>
      <c r="C231">
        <v>43.497</v>
      </c>
      <c r="D231">
        <v>90</v>
      </c>
      <c r="E231">
        <v>20</v>
      </c>
      <c r="F231">
        <v>35.558</v>
      </c>
      <c r="G231">
        <f t="shared" si="6"/>
        <v>23.778749166666667</v>
      </c>
      <c r="H231">
        <f t="shared" si="7"/>
        <v>90.343210555555544</v>
      </c>
    </row>
    <row r="232" spans="1:8" x14ac:dyDescent="0.3">
      <c r="A232">
        <v>23</v>
      </c>
      <c r="B232">
        <v>46</v>
      </c>
      <c r="C232">
        <v>44.103999999999999</v>
      </c>
      <c r="D232">
        <v>90</v>
      </c>
      <c r="E232">
        <v>21</v>
      </c>
      <c r="F232">
        <v>10.853999999999999</v>
      </c>
      <c r="G232">
        <f t="shared" si="6"/>
        <v>23.778917777777778</v>
      </c>
      <c r="H232">
        <f t="shared" si="7"/>
        <v>90.353014999999999</v>
      </c>
    </row>
    <row r="233" spans="1:8" x14ac:dyDescent="0.3">
      <c r="A233">
        <v>23</v>
      </c>
      <c r="B233">
        <v>46</v>
      </c>
      <c r="C233">
        <v>44.707999999999998</v>
      </c>
      <c r="D233">
        <v>90</v>
      </c>
      <c r="E233">
        <v>21</v>
      </c>
      <c r="F233">
        <v>46.151000000000003</v>
      </c>
      <c r="G233">
        <f t="shared" si="6"/>
        <v>23.779085555555554</v>
      </c>
      <c r="H233">
        <f t="shared" si="7"/>
        <v>90.362819722222213</v>
      </c>
    </row>
    <row r="234" spans="1:8" x14ac:dyDescent="0.3">
      <c r="A234">
        <v>23</v>
      </c>
      <c r="B234">
        <v>46</v>
      </c>
      <c r="C234">
        <v>45.31</v>
      </c>
      <c r="D234">
        <v>90</v>
      </c>
      <c r="E234">
        <v>22</v>
      </c>
      <c r="F234">
        <v>21.448</v>
      </c>
      <c r="G234">
        <f t="shared" si="6"/>
        <v>23.779252777777778</v>
      </c>
      <c r="H234">
        <f t="shared" si="7"/>
        <v>90.37262444444444</v>
      </c>
    </row>
    <row r="235" spans="1:8" x14ac:dyDescent="0.3">
      <c r="A235">
        <v>23</v>
      </c>
      <c r="B235">
        <v>46</v>
      </c>
      <c r="C235">
        <v>45.91</v>
      </c>
      <c r="D235">
        <v>90</v>
      </c>
      <c r="E235">
        <v>22</v>
      </c>
      <c r="F235">
        <v>56.744999999999997</v>
      </c>
      <c r="G235">
        <f t="shared" si="6"/>
        <v>23.779419444444443</v>
      </c>
      <c r="H235">
        <f t="shared" si="7"/>
        <v>90.382429166666654</v>
      </c>
    </row>
    <row r="236" spans="1:8" x14ac:dyDescent="0.3">
      <c r="A236">
        <v>23</v>
      </c>
      <c r="B236">
        <v>46</v>
      </c>
      <c r="C236">
        <v>46.508000000000003</v>
      </c>
      <c r="D236">
        <v>90</v>
      </c>
      <c r="E236">
        <v>23</v>
      </c>
      <c r="F236">
        <v>32.042000000000002</v>
      </c>
      <c r="G236">
        <f t="shared" si="6"/>
        <v>23.779585555555556</v>
      </c>
      <c r="H236">
        <f t="shared" si="7"/>
        <v>90.392233888888896</v>
      </c>
    </row>
    <row r="237" spans="1:8" x14ac:dyDescent="0.3">
      <c r="A237">
        <v>23</v>
      </c>
      <c r="B237">
        <v>46</v>
      </c>
      <c r="C237">
        <v>47.103000000000002</v>
      </c>
      <c r="D237">
        <v>90</v>
      </c>
      <c r="E237">
        <v>24</v>
      </c>
      <c r="F237">
        <v>7.34</v>
      </c>
      <c r="G237">
        <f t="shared" si="6"/>
        <v>23.779750833333331</v>
      </c>
      <c r="H237">
        <f t="shared" si="7"/>
        <v>90.402038888888896</v>
      </c>
    </row>
    <row r="238" spans="1:8" x14ac:dyDescent="0.3">
      <c r="A238">
        <v>23</v>
      </c>
      <c r="B238">
        <v>46</v>
      </c>
      <c r="C238">
        <v>47.695999999999998</v>
      </c>
      <c r="D238">
        <v>90</v>
      </c>
      <c r="E238">
        <v>24</v>
      </c>
      <c r="F238">
        <v>42.637999999999998</v>
      </c>
      <c r="G238">
        <f t="shared" si="6"/>
        <v>23.779915555555554</v>
      </c>
      <c r="H238">
        <f t="shared" si="7"/>
        <v>90.411843888888896</v>
      </c>
    </row>
    <row r="239" spans="1:8" x14ac:dyDescent="0.3">
      <c r="A239">
        <v>23</v>
      </c>
      <c r="B239">
        <v>46</v>
      </c>
      <c r="C239">
        <v>48.286999999999999</v>
      </c>
      <c r="D239">
        <v>90</v>
      </c>
      <c r="E239">
        <v>25</v>
      </c>
      <c r="F239">
        <v>17.937000000000001</v>
      </c>
      <c r="G239">
        <f t="shared" si="6"/>
        <v>23.780079722222222</v>
      </c>
      <c r="H239">
        <f t="shared" si="7"/>
        <v>90.421649166666668</v>
      </c>
    </row>
    <row r="240" spans="1:8" x14ac:dyDescent="0.3">
      <c r="A240">
        <v>23</v>
      </c>
      <c r="B240">
        <v>46</v>
      </c>
      <c r="C240">
        <v>48.875999999999998</v>
      </c>
      <c r="D240">
        <v>90</v>
      </c>
      <c r="E240">
        <v>25</v>
      </c>
      <c r="F240">
        <v>53.235999999999997</v>
      </c>
      <c r="G240">
        <f t="shared" si="6"/>
        <v>23.780243333333331</v>
      </c>
      <c r="H240">
        <f t="shared" si="7"/>
        <v>90.431454444444455</v>
      </c>
    </row>
    <row r="241" spans="1:8" x14ac:dyDescent="0.3">
      <c r="A241">
        <v>23</v>
      </c>
      <c r="B241">
        <v>46</v>
      </c>
      <c r="C241">
        <v>49.463000000000001</v>
      </c>
      <c r="D241">
        <v>90</v>
      </c>
      <c r="E241">
        <v>26</v>
      </c>
      <c r="F241">
        <v>28.535</v>
      </c>
      <c r="G241">
        <f t="shared" si="6"/>
        <v>23.780406388888888</v>
      </c>
      <c r="H241">
        <f t="shared" si="7"/>
        <v>90.441259722222227</v>
      </c>
    </row>
    <row r="242" spans="1:8" x14ac:dyDescent="0.3">
      <c r="A242">
        <v>23</v>
      </c>
      <c r="B242">
        <v>46</v>
      </c>
      <c r="C242">
        <v>50.046999999999997</v>
      </c>
      <c r="D242">
        <v>90</v>
      </c>
      <c r="E242">
        <v>27</v>
      </c>
      <c r="F242">
        <v>3.8340000000000001</v>
      </c>
      <c r="G242">
        <f t="shared" si="6"/>
        <v>23.780568611111111</v>
      </c>
      <c r="H242">
        <f t="shared" si="7"/>
        <v>90.451065</v>
      </c>
    </row>
    <row r="243" spans="1:8" x14ac:dyDescent="0.3">
      <c r="A243">
        <v>23</v>
      </c>
      <c r="B243">
        <v>46</v>
      </c>
      <c r="C243">
        <v>50.628999999999998</v>
      </c>
      <c r="D243">
        <v>90</v>
      </c>
      <c r="E243">
        <v>27</v>
      </c>
      <c r="F243">
        <v>39.134</v>
      </c>
      <c r="G243">
        <f t="shared" si="6"/>
        <v>23.780730277777778</v>
      </c>
      <c r="H243">
        <f t="shared" si="7"/>
        <v>90.460870555555559</v>
      </c>
    </row>
    <row r="244" spans="1:8" x14ac:dyDescent="0.3">
      <c r="A244">
        <v>23</v>
      </c>
      <c r="B244">
        <v>46</v>
      </c>
      <c r="C244">
        <v>51.209000000000003</v>
      </c>
      <c r="D244">
        <v>90</v>
      </c>
      <c r="E244">
        <v>28</v>
      </c>
      <c r="F244">
        <v>14.433999999999999</v>
      </c>
      <c r="G244">
        <f t="shared" si="6"/>
        <v>23.78089138888889</v>
      </c>
      <c r="H244">
        <f t="shared" si="7"/>
        <v>90.470676111111118</v>
      </c>
    </row>
    <row r="245" spans="1:8" x14ac:dyDescent="0.3">
      <c r="A245">
        <v>23</v>
      </c>
      <c r="B245">
        <v>46</v>
      </c>
      <c r="C245">
        <v>51.786000000000001</v>
      </c>
      <c r="D245">
        <v>90</v>
      </c>
      <c r="E245">
        <v>28</v>
      </c>
      <c r="F245">
        <v>49.734000000000002</v>
      </c>
      <c r="G245">
        <f t="shared" si="6"/>
        <v>23.781051666666666</v>
      </c>
      <c r="H245">
        <f t="shared" si="7"/>
        <v>90.480481666666662</v>
      </c>
    </row>
    <row r="246" spans="1:8" x14ac:dyDescent="0.3">
      <c r="A246">
        <v>23</v>
      </c>
      <c r="B246">
        <v>46</v>
      </c>
      <c r="C246">
        <v>52.362000000000002</v>
      </c>
      <c r="D246">
        <v>90</v>
      </c>
      <c r="E246">
        <v>29</v>
      </c>
      <c r="F246">
        <v>25.035</v>
      </c>
      <c r="G246">
        <f t="shared" si="6"/>
        <v>23.781211666666664</v>
      </c>
      <c r="H246">
        <f t="shared" si="7"/>
        <v>90.490287500000008</v>
      </c>
    </row>
    <row r="247" spans="1:8" x14ac:dyDescent="0.3">
      <c r="A247">
        <v>23</v>
      </c>
      <c r="B247">
        <v>46</v>
      </c>
      <c r="C247">
        <v>52.935000000000002</v>
      </c>
      <c r="D247">
        <v>90</v>
      </c>
      <c r="E247">
        <v>30</v>
      </c>
      <c r="F247">
        <v>0.33600000000000002</v>
      </c>
      <c r="G247">
        <f t="shared" si="6"/>
        <v>23.781370833333334</v>
      </c>
      <c r="H247">
        <f t="shared" si="7"/>
        <v>90.500093333333339</v>
      </c>
    </row>
    <row r="248" spans="1:8" x14ac:dyDescent="0.3">
      <c r="A248">
        <v>23</v>
      </c>
      <c r="B248">
        <v>46</v>
      </c>
      <c r="C248">
        <v>53.505000000000003</v>
      </c>
      <c r="D248">
        <v>90</v>
      </c>
      <c r="E248">
        <v>30</v>
      </c>
      <c r="F248">
        <v>35.637</v>
      </c>
      <c r="G248">
        <f t="shared" si="6"/>
        <v>23.781529166666665</v>
      </c>
      <c r="H248">
        <f t="shared" si="7"/>
        <v>90.509899166666671</v>
      </c>
    </row>
    <row r="249" spans="1:8" x14ac:dyDescent="0.3">
      <c r="A249">
        <v>23</v>
      </c>
      <c r="B249">
        <v>47</v>
      </c>
      <c r="C249">
        <v>15.37</v>
      </c>
      <c r="D249">
        <v>90</v>
      </c>
      <c r="E249">
        <v>19</v>
      </c>
      <c r="F249">
        <v>59.598999999999997</v>
      </c>
      <c r="G249">
        <f t="shared" si="6"/>
        <v>23.787602777777778</v>
      </c>
      <c r="H249">
        <f t="shared" si="7"/>
        <v>90.333221944444446</v>
      </c>
    </row>
    <row r="250" spans="1:8" x14ac:dyDescent="0.3">
      <c r="A250">
        <v>23</v>
      </c>
      <c r="B250">
        <v>47</v>
      </c>
      <c r="C250">
        <v>15.978999999999999</v>
      </c>
      <c r="D250">
        <v>90</v>
      </c>
      <c r="E250">
        <v>20</v>
      </c>
      <c r="F250">
        <v>34.896999999999998</v>
      </c>
      <c r="G250">
        <f t="shared" si="6"/>
        <v>23.787771944444447</v>
      </c>
      <c r="H250">
        <f t="shared" si="7"/>
        <v>90.343026944444446</v>
      </c>
    </row>
    <row r="251" spans="1:8" x14ac:dyDescent="0.3">
      <c r="A251">
        <v>23</v>
      </c>
      <c r="B251">
        <v>47</v>
      </c>
      <c r="C251">
        <v>16.585999999999999</v>
      </c>
      <c r="D251">
        <v>90</v>
      </c>
      <c r="E251">
        <v>21</v>
      </c>
      <c r="F251">
        <v>10.196</v>
      </c>
      <c r="G251">
        <f t="shared" si="6"/>
        <v>23.787940555555558</v>
      </c>
      <c r="H251">
        <f t="shared" si="7"/>
        <v>90.352832222222219</v>
      </c>
    </row>
    <row r="252" spans="1:8" x14ac:dyDescent="0.3">
      <c r="A252">
        <v>23</v>
      </c>
      <c r="B252">
        <v>47</v>
      </c>
      <c r="C252">
        <v>17.190999999999999</v>
      </c>
      <c r="D252">
        <v>90</v>
      </c>
      <c r="E252">
        <v>21</v>
      </c>
      <c r="F252">
        <v>45.494999999999997</v>
      </c>
      <c r="G252">
        <f t="shared" si="6"/>
        <v>23.788108611111113</v>
      </c>
      <c r="H252">
        <f t="shared" si="7"/>
        <v>90.362637499999991</v>
      </c>
    </row>
    <row r="253" spans="1:8" x14ac:dyDescent="0.3">
      <c r="A253">
        <v>23</v>
      </c>
      <c r="B253">
        <v>47</v>
      </c>
      <c r="C253">
        <v>17.792999999999999</v>
      </c>
      <c r="D253">
        <v>90</v>
      </c>
      <c r="E253">
        <v>22</v>
      </c>
      <c r="F253">
        <v>20.794</v>
      </c>
      <c r="G253">
        <f t="shared" si="6"/>
        <v>23.788275833333334</v>
      </c>
      <c r="H253">
        <f t="shared" si="7"/>
        <v>90.372442777777778</v>
      </c>
    </row>
    <row r="254" spans="1:8" x14ac:dyDescent="0.3">
      <c r="A254">
        <v>23</v>
      </c>
      <c r="B254">
        <v>47</v>
      </c>
      <c r="C254">
        <v>18.393000000000001</v>
      </c>
      <c r="D254">
        <v>90</v>
      </c>
      <c r="E254">
        <v>22</v>
      </c>
      <c r="F254">
        <v>56.094000000000001</v>
      </c>
      <c r="G254">
        <f t="shared" si="6"/>
        <v>23.788442500000002</v>
      </c>
      <c r="H254">
        <f t="shared" si="7"/>
        <v>90.382248333333322</v>
      </c>
    </row>
    <row r="255" spans="1:8" x14ac:dyDescent="0.3">
      <c r="A255">
        <v>23</v>
      </c>
      <c r="B255">
        <v>47</v>
      </c>
      <c r="C255">
        <v>18.991</v>
      </c>
      <c r="D255">
        <v>90</v>
      </c>
      <c r="E255">
        <v>23</v>
      </c>
      <c r="F255">
        <v>31.393999999999998</v>
      </c>
      <c r="G255">
        <f t="shared" si="6"/>
        <v>23.788608611111112</v>
      </c>
      <c r="H255">
        <f t="shared" si="7"/>
        <v>90.392053888888896</v>
      </c>
    </row>
    <row r="256" spans="1:8" x14ac:dyDescent="0.3">
      <c r="A256">
        <v>23</v>
      </c>
      <c r="B256">
        <v>47</v>
      </c>
      <c r="C256">
        <v>19.587</v>
      </c>
      <c r="D256">
        <v>90</v>
      </c>
      <c r="E256">
        <v>24</v>
      </c>
      <c r="F256">
        <v>6.694</v>
      </c>
      <c r="G256">
        <f t="shared" si="6"/>
        <v>23.78877416666667</v>
      </c>
      <c r="H256">
        <f t="shared" si="7"/>
        <v>90.401859444444455</v>
      </c>
    </row>
    <row r="257" spans="1:8" x14ac:dyDescent="0.3">
      <c r="A257">
        <v>23</v>
      </c>
      <c r="B257">
        <v>47</v>
      </c>
      <c r="C257">
        <v>20.18</v>
      </c>
      <c r="D257">
        <v>90</v>
      </c>
      <c r="E257">
        <v>24</v>
      </c>
      <c r="F257">
        <v>41.994999999999997</v>
      </c>
      <c r="G257">
        <f t="shared" si="6"/>
        <v>23.78893888888889</v>
      </c>
      <c r="H257">
        <f t="shared" si="7"/>
        <v>90.411665277777786</v>
      </c>
    </row>
    <row r="258" spans="1:8" x14ac:dyDescent="0.3">
      <c r="A258">
        <v>23</v>
      </c>
      <c r="B258">
        <v>47</v>
      </c>
      <c r="C258">
        <v>20.771000000000001</v>
      </c>
      <c r="D258">
        <v>90</v>
      </c>
      <c r="E258">
        <v>25</v>
      </c>
      <c r="F258">
        <v>17.295999999999999</v>
      </c>
      <c r="G258">
        <f t="shared" si="6"/>
        <v>23.789103055555557</v>
      </c>
      <c r="H258">
        <f t="shared" si="7"/>
        <v>90.421471111111117</v>
      </c>
    </row>
    <row r="259" spans="1:8" x14ac:dyDescent="0.3">
      <c r="A259">
        <v>23</v>
      </c>
      <c r="B259">
        <v>47</v>
      </c>
      <c r="C259">
        <v>21.36</v>
      </c>
      <c r="D259">
        <v>90</v>
      </c>
      <c r="E259">
        <v>25</v>
      </c>
      <c r="F259">
        <v>52.597000000000001</v>
      </c>
      <c r="G259">
        <f t="shared" ref="G259:G322" si="8">DecimalDegreesConverter(A259,B259,C259)</f>
        <v>23.78926666666667</v>
      </c>
      <c r="H259">
        <f t="shared" ref="H259:H322" si="9">DecimalDegreesConverter(D259,E259,F259)</f>
        <v>90.431276944444448</v>
      </c>
    </row>
    <row r="260" spans="1:8" x14ac:dyDescent="0.3">
      <c r="A260">
        <v>23</v>
      </c>
      <c r="B260">
        <v>47</v>
      </c>
      <c r="C260">
        <v>21.946999999999999</v>
      </c>
      <c r="D260">
        <v>90</v>
      </c>
      <c r="E260">
        <v>26</v>
      </c>
      <c r="F260">
        <v>27.899000000000001</v>
      </c>
      <c r="G260">
        <f t="shared" si="8"/>
        <v>23.789429722222224</v>
      </c>
      <c r="H260">
        <f t="shared" si="9"/>
        <v>90.441083055555566</v>
      </c>
    </row>
    <row r="261" spans="1:8" x14ac:dyDescent="0.3">
      <c r="A261">
        <v>23</v>
      </c>
      <c r="B261">
        <v>47</v>
      </c>
      <c r="C261">
        <v>22.532</v>
      </c>
      <c r="D261">
        <v>90</v>
      </c>
      <c r="E261">
        <v>27</v>
      </c>
      <c r="F261">
        <v>3.2</v>
      </c>
      <c r="G261">
        <f t="shared" si="8"/>
        <v>23.789592222222225</v>
      </c>
      <c r="H261">
        <f t="shared" si="9"/>
        <v>90.450888888888898</v>
      </c>
    </row>
    <row r="262" spans="1:8" x14ac:dyDescent="0.3">
      <c r="A262">
        <v>23</v>
      </c>
      <c r="B262">
        <v>47</v>
      </c>
      <c r="C262">
        <v>23.114000000000001</v>
      </c>
      <c r="D262">
        <v>90</v>
      </c>
      <c r="E262">
        <v>27</v>
      </c>
      <c r="F262">
        <v>38.503</v>
      </c>
      <c r="G262">
        <f t="shared" si="8"/>
        <v>23.789753888888889</v>
      </c>
      <c r="H262">
        <f t="shared" si="9"/>
        <v>90.460695277777774</v>
      </c>
    </row>
    <row r="263" spans="1:8" x14ac:dyDescent="0.3">
      <c r="A263">
        <v>23</v>
      </c>
      <c r="B263">
        <v>47</v>
      </c>
      <c r="C263">
        <v>23.693999999999999</v>
      </c>
      <c r="D263">
        <v>90</v>
      </c>
      <c r="E263">
        <v>28</v>
      </c>
      <c r="F263">
        <v>13.805</v>
      </c>
      <c r="G263">
        <f t="shared" si="8"/>
        <v>23.789915000000001</v>
      </c>
      <c r="H263">
        <f t="shared" si="9"/>
        <v>90.470501388888891</v>
      </c>
    </row>
    <row r="264" spans="1:8" x14ac:dyDescent="0.3">
      <c r="A264">
        <v>23</v>
      </c>
      <c r="B264">
        <v>47</v>
      </c>
      <c r="C264">
        <v>24.271999999999998</v>
      </c>
      <c r="D264">
        <v>90</v>
      </c>
      <c r="E264">
        <v>28</v>
      </c>
      <c r="F264">
        <v>49.107999999999997</v>
      </c>
      <c r="G264">
        <f t="shared" si="8"/>
        <v>23.790075555555557</v>
      </c>
      <c r="H264">
        <f t="shared" si="9"/>
        <v>90.480307777777782</v>
      </c>
    </row>
    <row r="265" spans="1:8" x14ac:dyDescent="0.3">
      <c r="A265">
        <v>23</v>
      </c>
      <c r="B265">
        <v>47</v>
      </c>
      <c r="C265">
        <v>24.847000000000001</v>
      </c>
      <c r="D265">
        <v>90</v>
      </c>
      <c r="E265">
        <v>29</v>
      </c>
      <c r="F265">
        <v>24.411000000000001</v>
      </c>
      <c r="G265">
        <f t="shared" si="8"/>
        <v>23.790235277777779</v>
      </c>
      <c r="H265">
        <f t="shared" si="9"/>
        <v>90.490114166666672</v>
      </c>
    </row>
    <row r="266" spans="1:8" x14ac:dyDescent="0.3">
      <c r="A266">
        <v>23</v>
      </c>
      <c r="B266">
        <v>47</v>
      </c>
      <c r="C266">
        <v>25.420999999999999</v>
      </c>
      <c r="D266">
        <v>90</v>
      </c>
      <c r="E266">
        <v>29</v>
      </c>
      <c r="F266">
        <v>59.713999999999999</v>
      </c>
      <c r="G266">
        <f t="shared" si="8"/>
        <v>23.790394722222224</v>
      </c>
      <c r="H266">
        <f t="shared" si="9"/>
        <v>90.499920555555562</v>
      </c>
    </row>
    <row r="267" spans="1:8" x14ac:dyDescent="0.3">
      <c r="A267">
        <v>23</v>
      </c>
      <c r="B267">
        <v>47</v>
      </c>
      <c r="C267">
        <v>25.992000000000001</v>
      </c>
      <c r="D267">
        <v>90</v>
      </c>
      <c r="E267">
        <v>30</v>
      </c>
      <c r="F267">
        <v>35.018000000000001</v>
      </c>
      <c r="G267">
        <f t="shared" si="8"/>
        <v>23.790553333333335</v>
      </c>
      <c r="H267">
        <f t="shared" si="9"/>
        <v>90.509727222222224</v>
      </c>
    </row>
    <row r="268" spans="1:8" x14ac:dyDescent="0.3">
      <c r="A268">
        <v>23</v>
      </c>
      <c r="B268">
        <v>47</v>
      </c>
      <c r="C268">
        <v>47.851999999999997</v>
      </c>
      <c r="D268">
        <v>90</v>
      </c>
      <c r="E268">
        <v>19</v>
      </c>
      <c r="F268">
        <v>58.936</v>
      </c>
      <c r="G268">
        <f t="shared" si="8"/>
        <v>23.796625555555558</v>
      </c>
      <c r="H268">
        <f t="shared" si="9"/>
        <v>90.333037777777776</v>
      </c>
    </row>
    <row r="269" spans="1:8" x14ac:dyDescent="0.3">
      <c r="A269">
        <v>23</v>
      </c>
      <c r="B269">
        <v>47</v>
      </c>
      <c r="C269">
        <v>48.460999999999999</v>
      </c>
      <c r="D269">
        <v>90</v>
      </c>
      <c r="E269">
        <v>20</v>
      </c>
      <c r="F269">
        <v>34.237000000000002</v>
      </c>
      <c r="G269">
        <f t="shared" si="8"/>
        <v>23.796794722222224</v>
      </c>
      <c r="H269">
        <f t="shared" si="9"/>
        <v>90.342843611111107</v>
      </c>
    </row>
    <row r="270" spans="1:8" x14ac:dyDescent="0.3">
      <c r="A270">
        <v>23</v>
      </c>
      <c r="B270">
        <v>47</v>
      </c>
      <c r="C270">
        <v>49.067999999999998</v>
      </c>
      <c r="D270">
        <v>90</v>
      </c>
      <c r="E270">
        <v>21</v>
      </c>
      <c r="F270">
        <v>9.5380000000000003</v>
      </c>
      <c r="G270">
        <f t="shared" si="8"/>
        <v>23.796963333333334</v>
      </c>
      <c r="H270">
        <f t="shared" si="9"/>
        <v>90.352649444444438</v>
      </c>
    </row>
    <row r="271" spans="1:8" x14ac:dyDescent="0.3">
      <c r="A271">
        <v>23</v>
      </c>
      <c r="B271">
        <v>47</v>
      </c>
      <c r="C271">
        <v>49.673000000000002</v>
      </c>
      <c r="D271">
        <v>90</v>
      </c>
      <c r="E271">
        <v>21</v>
      </c>
      <c r="F271">
        <v>44.838999999999999</v>
      </c>
      <c r="G271">
        <f t="shared" si="8"/>
        <v>23.797131388888889</v>
      </c>
      <c r="H271">
        <f t="shared" si="9"/>
        <v>90.362455277777769</v>
      </c>
    </row>
    <row r="272" spans="1:8" x14ac:dyDescent="0.3">
      <c r="A272">
        <v>23</v>
      </c>
      <c r="B272">
        <v>47</v>
      </c>
      <c r="C272">
        <v>50.276000000000003</v>
      </c>
      <c r="D272">
        <v>90</v>
      </c>
      <c r="E272">
        <v>22</v>
      </c>
      <c r="F272">
        <v>20.140999999999998</v>
      </c>
      <c r="G272">
        <f t="shared" si="8"/>
        <v>23.797298888888889</v>
      </c>
      <c r="H272">
        <f t="shared" si="9"/>
        <v>90.372261388888887</v>
      </c>
    </row>
    <row r="273" spans="1:8" x14ac:dyDescent="0.3">
      <c r="A273">
        <v>23</v>
      </c>
      <c r="B273">
        <v>47</v>
      </c>
      <c r="C273">
        <v>50.875999999999998</v>
      </c>
      <c r="D273">
        <v>90</v>
      </c>
      <c r="E273">
        <v>22</v>
      </c>
      <c r="F273">
        <v>55.442999999999998</v>
      </c>
      <c r="G273">
        <f t="shared" si="8"/>
        <v>23.797465555555558</v>
      </c>
      <c r="H273">
        <f t="shared" si="9"/>
        <v>90.382067499999991</v>
      </c>
    </row>
    <row r="274" spans="1:8" x14ac:dyDescent="0.3">
      <c r="A274">
        <v>23</v>
      </c>
      <c r="B274">
        <v>47</v>
      </c>
      <c r="C274">
        <v>51.473999999999997</v>
      </c>
      <c r="D274">
        <v>90</v>
      </c>
      <c r="E274">
        <v>23</v>
      </c>
      <c r="F274">
        <v>30.745000000000001</v>
      </c>
      <c r="G274">
        <f t="shared" si="8"/>
        <v>23.797631666666668</v>
      </c>
      <c r="H274">
        <f t="shared" si="9"/>
        <v>90.391873611111123</v>
      </c>
    </row>
    <row r="275" spans="1:8" x14ac:dyDescent="0.3">
      <c r="A275">
        <v>23</v>
      </c>
      <c r="B275">
        <v>47</v>
      </c>
      <c r="C275">
        <v>52.07</v>
      </c>
      <c r="D275">
        <v>90</v>
      </c>
      <c r="E275">
        <v>24</v>
      </c>
      <c r="F275">
        <v>6.048</v>
      </c>
      <c r="G275">
        <f t="shared" si="8"/>
        <v>23.797797222222226</v>
      </c>
      <c r="H275">
        <f t="shared" si="9"/>
        <v>90.401679999999999</v>
      </c>
    </row>
    <row r="276" spans="1:8" x14ac:dyDescent="0.3">
      <c r="A276">
        <v>23</v>
      </c>
      <c r="B276">
        <v>47</v>
      </c>
      <c r="C276">
        <v>52.664000000000001</v>
      </c>
      <c r="D276">
        <v>90</v>
      </c>
      <c r="E276">
        <v>24</v>
      </c>
      <c r="F276">
        <v>41.350999999999999</v>
      </c>
      <c r="G276">
        <f t="shared" si="8"/>
        <v>23.797962222222225</v>
      </c>
      <c r="H276">
        <f t="shared" si="9"/>
        <v>90.411486388888889</v>
      </c>
    </row>
    <row r="277" spans="1:8" x14ac:dyDescent="0.3">
      <c r="A277">
        <v>23</v>
      </c>
      <c r="B277">
        <v>47</v>
      </c>
      <c r="C277">
        <v>53.256</v>
      </c>
      <c r="D277">
        <v>90</v>
      </c>
      <c r="E277">
        <v>25</v>
      </c>
      <c r="F277">
        <v>16.654</v>
      </c>
      <c r="G277">
        <f t="shared" si="8"/>
        <v>23.798126666666668</v>
      </c>
      <c r="H277">
        <f t="shared" si="9"/>
        <v>90.421292777777779</v>
      </c>
    </row>
    <row r="278" spans="1:8" x14ac:dyDescent="0.3">
      <c r="A278">
        <v>23</v>
      </c>
      <c r="B278">
        <v>47</v>
      </c>
      <c r="C278">
        <v>53.844999999999999</v>
      </c>
      <c r="D278">
        <v>90</v>
      </c>
      <c r="E278">
        <v>25</v>
      </c>
      <c r="F278">
        <v>51.957999999999998</v>
      </c>
      <c r="G278">
        <f t="shared" si="8"/>
        <v>23.798290277777781</v>
      </c>
      <c r="H278">
        <f t="shared" si="9"/>
        <v>90.431099444444456</v>
      </c>
    </row>
    <row r="279" spans="1:8" x14ac:dyDescent="0.3">
      <c r="A279">
        <v>23</v>
      </c>
      <c r="B279">
        <v>47</v>
      </c>
      <c r="C279">
        <v>54.432000000000002</v>
      </c>
      <c r="D279">
        <v>90</v>
      </c>
      <c r="E279">
        <v>26</v>
      </c>
      <c r="F279">
        <v>27.262</v>
      </c>
      <c r="G279">
        <f t="shared" si="8"/>
        <v>23.798453333333335</v>
      </c>
      <c r="H279">
        <f t="shared" si="9"/>
        <v>90.440906111111119</v>
      </c>
    </row>
    <row r="280" spans="1:8" x14ac:dyDescent="0.3">
      <c r="A280">
        <v>23</v>
      </c>
      <c r="B280">
        <v>47</v>
      </c>
      <c r="C280">
        <v>55.015999999999998</v>
      </c>
      <c r="D280">
        <v>90</v>
      </c>
      <c r="E280">
        <v>27</v>
      </c>
      <c r="F280">
        <v>2.5659999999999998</v>
      </c>
      <c r="G280">
        <f t="shared" si="8"/>
        <v>23.798615555555557</v>
      </c>
      <c r="H280">
        <f t="shared" si="9"/>
        <v>90.450712777777781</v>
      </c>
    </row>
    <row r="281" spans="1:8" x14ac:dyDescent="0.3">
      <c r="A281">
        <v>23</v>
      </c>
      <c r="B281">
        <v>47</v>
      </c>
      <c r="C281">
        <v>55.598999999999997</v>
      </c>
      <c r="D281">
        <v>90</v>
      </c>
      <c r="E281">
        <v>27</v>
      </c>
      <c r="F281">
        <v>37.871000000000002</v>
      </c>
      <c r="G281">
        <f t="shared" si="8"/>
        <v>23.7987775</v>
      </c>
      <c r="H281">
        <f t="shared" si="9"/>
        <v>90.46051972222223</v>
      </c>
    </row>
    <row r="282" spans="1:8" x14ac:dyDescent="0.3">
      <c r="A282">
        <v>23</v>
      </c>
      <c r="B282">
        <v>47</v>
      </c>
      <c r="C282">
        <v>56.179000000000002</v>
      </c>
      <c r="D282">
        <v>90</v>
      </c>
      <c r="E282">
        <v>28</v>
      </c>
      <c r="F282">
        <v>13.176</v>
      </c>
      <c r="G282">
        <f t="shared" si="8"/>
        <v>23.798938611111112</v>
      </c>
      <c r="H282">
        <f t="shared" si="9"/>
        <v>90.470326666666665</v>
      </c>
    </row>
    <row r="283" spans="1:8" x14ac:dyDescent="0.3">
      <c r="A283">
        <v>23</v>
      </c>
      <c r="B283">
        <v>47</v>
      </c>
      <c r="C283">
        <v>56.756999999999998</v>
      </c>
      <c r="D283">
        <v>90</v>
      </c>
      <c r="E283">
        <v>28</v>
      </c>
      <c r="F283">
        <v>48.481000000000002</v>
      </c>
      <c r="G283">
        <f t="shared" si="8"/>
        <v>23.799099166666668</v>
      </c>
      <c r="H283">
        <f t="shared" si="9"/>
        <v>90.480133611111114</v>
      </c>
    </row>
    <row r="284" spans="1:8" x14ac:dyDescent="0.3">
      <c r="A284">
        <v>23</v>
      </c>
      <c r="B284">
        <v>47</v>
      </c>
      <c r="C284">
        <v>57.332999999999998</v>
      </c>
      <c r="D284">
        <v>90</v>
      </c>
      <c r="E284">
        <v>29</v>
      </c>
      <c r="F284">
        <v>23.786999999999999</v>
      </c>
      <c r="G284">
        <f t="shared" si="8"/>
        <v>23.799259166666669</v>
      </c>
      <c r="H284">
        <f t="shared" si="9"/>
        <v>90.489940833333335</v>
      </c>
    </row>
    <row r="285" spans="1:8" x14ac:dyDescent="0.3">
      <c r="A285">
        <v>23</v>
      </c>
      <c r="B285">
        <v>47</v>
      </c>
      <c r="C285">
        <v>57.906999999999996</v>
      </c>
      <c r="D285">
        <v>90</v>
      </c>
      <c r="E285">
        <v>29</v>
      </c>
      <c r="F285">
        <v>59.093000000000004</v>
      </c>
      <c r="G285">
        <f t="shared" si="8"/>
        <v>23.799418611111111</v>
      </c>
      <c r="H285">
        <f t="shared" si="9"/>
        <v>90.499748055555557</v>
      </c>
    </row>
    <row r="286" spans="1:8" x14ac:dyDescent="0.3">
      <c r="A286">
        <v>23</v>
      </c>
      <c r="B286">
        <v>47</v>
      </c>
      <c r="C286">
        <v>58.478000000000002</v>
      </c>
      <c r="D286">
        <v>90</v>
      </c>
      <c r="E286">
        <v>30</v>
      </c>
      <c r="F286">
        <v>34.399000000000001</v>
      </c>
      <c r="G286">
        <f t="shared" si="8"/>
        <v>23.799577222222222</v>
      </c>
      <c r="H286">
        <f t="shared" si="9"/>
        <v>90.509555277777778</v>
      </c>
    </row>
    <row r="287" spans="1:8" x14ac:dyDescent="0.3">
      <c r="A287">
        <v>23</v>
      </c>
      <c r="B287">
        <v>48</v>
      </c>
      <c r="C287">
        <v>20.332999999999998</v>
      </c>
      <c r="D287">
        <v>90</v>
      </c>
      <c r="E287">
        <v>19</v>
      </c>
      <c r="F287">
        <v>58.271999999999998</v>
      </c>
      <c r="G287">
        <f t="shared" si="8"/>
        <v>23.805648055555555</v>
      </c>
      <c r="H287">
        <f t="shared" si="9"/>
        <v>90.332853333333333</v>
      </c>
    </row>
    <row r="288" spans="1:8" x14ac:dyDescent="0.3">
      <c r="A288">
        <v>23</v>
      </c>
      <c r="B288">
        <v>48</v>
      </c>
      <c r="C288">
        <v>20.943000000000001</v>
      </c>
      <c r="D288">
        <v>90</v>
      </c>
      <c r="E288">
        <v>20</v>
      </c>
      <c r="F288">
        <v>33.575000000000003</v>
      </c>
      <c r="G288">
        <f t="shared" si="8"/>
        <v>23.8058175</v>
      </c>
      <c r="H288">
        <f t="shared" si="9"/>
        <v>90.342659722222223</v>
      </c>
    </row>
    <row r="289" spans="1:8" x14ac:dyDescent="0.3">
      <c r="A289">
        <v>23</v>
      </c>
      <c r="B289">
        <v>48</v>
      </c>
      <c r="C289">
        <v>21.55</v>
      </c>
      <c r="D289">
        <v>90</v>
      </c>
      <c r="E289">
        <v>21</v>
      </c>
      <c r="F289">
        <v>8.8789999999999996</v>
      </c>
      <c r="G289">
        <f t="shared" si="8"/>
        <v>23.80598611111111</v>
      </c>
      <c r="H289">
        <f t="shared" si="9"/>
        <v>90.352466388888885</v>
      </c>
    </row>
    <row r="290" spans="1:8" x14ac:dyDescent="0.3">
      <c r="A290">
        <v>23</v>
      </c>
      <c r="B290">
        <v>48</v>
      </c>
      <c r="C290">
        <v>22.155999999999999</v>
      </c>
      <c r="D290">
        <v>90</v>
      </c>
      <c r="E290">
        <v>21</v>
      </c>
      <c r="F290">
        <v>44.183</v>
      </c>
      <c r="G290">
        <f t="shared" si="8"/>
        <v>23.806154444444445</v>
      </c>
      <c r="H290">
        <f t="shared" si="9"/>
        <v>90.362273055555548</v>
      </c>
    </row>
    <row r="291" spans="1:8" x14ac:dyDescent="0.3">
      <c r="A291">
        <v>23</v>
      </c>
      <c r="B291">
        <v>48</v>
      </c>
      <c r="C291">
        <v>22.759</v>
      </c>
      <c r="D291">
        <v>90</v>
      </c>
      <c r="E291">
        <v>22</v>
      </c>
      <c r="F291">
        <v>19.486999999999998</v>
      </c>
      <c r="G291">
        <f t="shared" si="8"/>
        <v>23.806321944444445</v>
      </c>
      <c r="H291">
        <f t="shared" si="9"/>
        <v>90.37207972222221</v>
      </c>
    </row>
    <row r="292" spans="1:8" x14ac:dyDescent="0.3">
      <c r="A292">
        <v>23</v>
      </c>
      <c r="B292">
        <v>48</v>
      </c>
      <c r="C292">
        <v>23.359000000000002</v>
      </c>
      <c r="D292">
        <v>90</v>
      </c>
      <c r="E292">
        <v>22</v>
      </c>
      <c r="F292">
        <v>54.790999999999997</v>
      </c>
      <c r="G292">
        <f t="shared" si="8"/>
        <v>23.806488611111114</v>
      </c>
      <c r="H292">
        <f t="shared" si="9"/>
        <v>90.381886388888887</v>
      </c>
    </row>
    <row r="293" spans="1:8" x14ac:dyDescent="0.3">
      <c r="A293">
        <v>23</v>
      </c>
      <c r="B293">
        <v>48</v>
      </c>
      <c r="C293">
        <v>23.957999999999998</v>
      </c>
      <c r="D293">
        <v>90</v>
      </c>
      <c r="E293">
        <v>23</v>
      </c>
      <c r="F293">
        <v>30.096</v>
      </c>
      <c r="G293">
        <f t="shared" si="8"/>
        <v>23.806654999999999</v>
      </c>
      <c r="H293">
        <f t="shared" si="9"/>
        <v>90.391693333333336</v>
      </c>
    </row>
    <row r="294" spans="1:8" x14ac:dyDescent="0.3">
      <c r="A294">
        <v>23</v>
      </c>
      <c r="B294">
        <v>48</v>
      </c>
      <c r="C294">
        <v>24.553999999999998</v>
      </c>
      <c r="D294">
        <v>90</v>
      </c>
      <c r="E294">
        <v>24</v>
      </c>
      <c r="F294">
        <v>5.4009999999999998</v>
      </c>
      <c r="G294">
        <f t="shared" si="8"/>
        <v>23.806820555555557</v>
      </c>
      <c r="H294">
        <f t="shared" si="9"/>
        <v>90.401500277777785</v>
      </c>
    </row>
    <row r="295" spans="1:8" x14ac:dyDescent="0.3">
      <c r="A295">
        <v>23</v>
      </c>
      <c r="B295">
        <v>48</v>
      </c>
      <c r="C295">
        <v>25.148</v>
      </c>
      <c r="D295">
        <v>90</v>
      </c>
      <c r="E295">
        <v>24</v>
      </c>
      <c r="F295">
        <v>40.707000000000001</v>
      </c>
      <c r="G295">
        <f t="shared" si="8"/>
        <v>23.806985555555556</v>
      </c>
      <c r="H295">
        <f t="shared" si="9"/>
        <v>90.411307500000007</v>
      </c>
    </row>
    <row r="296" spans="1:8" x14ac:dyDescent="0.3">
      <c r="A296">
        <v>23</v>
      </c>
      <c r="B296">
        <v>48</v>
      </c>
      <c r="C296">
        <v>25.74</v>
      </c>
      <c r="D296">
        <v>90</v>
      </c>
      <c r="E296">
        <v>25</v>
      </c>
      <c r="F296">
        <v>16.013000000000002</v>
      </c>
      <c r="G296">
        <f t="shared" si="8"/>
        <v>23.80715</v>
      </c>
      <c r="H296">
        <f t="shared" si="9"/>
        <v>90.421114722222228</v>
      </c>
    </row>
    <row r="297" spans="1:8" x14ac:dyDescent="0.3">
      <c r="A297">
        <v>23</v>
      </c>
      <c r="B297">
        <v>48</v>
      </c>
      <c r="C297">
        <v>26.329000000000001</v>
      </c>
      <c r="D297">
        <v>90</v>
      </c>
      <c r="E297">
        <v>25</v>
      </c>
      <c r="F297">
        <v>51.319000000000003</v>
      </c>
      <c r="G297">
        <f t="shared" si="8"/>
        <v>23.807313611111113</v>
      </c>
      <c r="H297">
        <f t="shared" si="9"/>
        <v>90.430921944444449</v>
      </c>
    </row>
    <row r="298" spans="1:8" x14ac:dyDescent="0.3">
      <c r="A298">
        <v>23</v>
      </c>
      <c r="B298">
        <v>48</v>
      </c>
      <c r="C298">
        <v>26.916</v>
      </c>
      <c r="D298">
        <v>90</v>
      </c>
      <c r="E298">
        <v>26</v>
      </c>
      <c r="F298">
        <v>26.625</v>
      </c>
      <c r="G298">
        <f t="shared" si="8"/>
        <v>23.807476666666666</v>
      </c>
      <c r="H298">
        <f t="shared" si="9"/>
        <v>90.440729166666671</v>
      </c>
    </row>
    <row r="299" spans="1:8" x14ac:dyDescent="0.3">
      <c r="A299">
        <v>23</v>
      </c>
      <c r="B299">
        <v>48</v>
      </c>
      <c r="C299">
        <v>27.501000000000001</v>
      </c>
      <c r="D299">
        <v>90</v>
      </c>
      <c r="E299">
        <v>27</v>
      </c>
      <c r="F299">
        <v>1.9319999999999999</v>
      </c>
      <c r="G299">
        <f t="shared" si="8"/>
        <v>23.807639166666668</v>
      </c>
      <c r="H299">
        <f t="shared" si="9"/>
        <v>90.450536666666665</v>
      </c>
    </row>
    <row r="300" spans="1:8" x14ac:dyDescent="0.3">
      <c r="A300">
        <v>23</v>
      </c>
      <c r="B300">
        <v>48</v>
      </c>
      <c r="C300">
        <v>28.084</v>
      </c>
      <c r="D300">
        <v>90</v>
      </c>
      <c r="E300">
        <v>27</v>
      </c>
      <c r="F300">
        <v>37.238999999999997</v>
      </c>
      <c r="G300">
        <f t="shared" si="8"/>
        <v>23.807801111111111</v>
      </c>
      <c r="H300">
        <f t="shared" si="9"/>
        <v>90.460344166666673</v>
      </c>
    </row>
    <row r="301" spans="1:8" x14ac:dyDescent="0.3">
      <c r="A301">
        <v>23</v>
      </c>
      <c r="B301">
        <v>48</v>
      </c>
      <c r="C301">
        <v>28.664000000000001</v>
      </c>
      <c r="D301">
        <v>90</v>
      </c>
      <c r="E301">
        <v>28</v>
      </c>
      <c r="F301">
        <v>12.545999999999999</v>
      </c>
      <c r="G301">
        <f t="shared" si="8"/>
        <v>23.807962222222223</v>
      </c>
      <c r="H301">
        <f t="shared" si="9"/>
        <v>90.470151666666666</v>
      </c>
    </row>
    <row r="302" spans="1:8" x14ac:dyDescent="0.3">
      <c r="A302">
        <v>23</v>
      </c>
      <c r="B302">
        <v>48</v>
      </c>
      <c r="C302">
        <v>29.242999999999999</v>
      </c>
      <c r="D302">
        <v>90</v>
      </c>
      <c r="E302">
        <v>28</v>
      </c>
      <c r="F302">
        <v>47.853999999999999</v>
      </c>
      <c r="G302">
        <f t="shared" si="8"/>
        <v>23.808123055555555</v>
      </c>
      <c r="H302">
        <f t="shared" si="9"/>
        <v>90.479959444444447</v>
      </c>
    </row>
    <row r="303" spans="1:8" x14ac:dyDescent="0.3">
      <c r="A303">
        <v>23</v>
      </c>
      <c r="B303">
        <v>48</v>
      </c>
      <c r="C303">
        <v>29.818999999999999</v>
      </c>
      <c r="D303">
        <v>90</v>
      </c>
      <c r="E303">
        <v>29</v>
      </c>
      <c r="F303">
        <v>23.161999999999999</v>
      </c>
      <c r="G303">
        <f t="shared" si="8"/>
        <v>23.808283055555556</v>
      </c>
      <c r="H303">
        <f t="shared" si="9"/>
        <v>90.489767222222227</v>
      </c>
    </row>
    <row r="304" spans="1:8" x14ac:dyDescent="0.3">
      <c r="A304">
        <v>23</v>
      </c>
      <c r="B304">
        <v>48</v>
      </c>
      <c r="C304">
        <v>30.393000000000001</v>
      </c>
      <c r="D304">
        <v>90</v>
      </c>
      <c r="E304">
        <v>29</v>
      </c>
      <c r="F304">
        <v>58.47</v>
      </c>
      <c r="G304">
        <f t="shared" si="8"/>
        <v>23.808442500000002</v>
      </c>
      <c r="H304">
        <f t="shared" si="9"/>
        <v>90.499575000000007</v>
      </c>
    </row>
    <row r="305" spans="1:8" x14ac:dyDescent="0.3">
      <c r="A305">
        <v>23</v>
      </c>
      <c r="B305">
        <v>48</v>
      </c>
      <c r="C305">
        <v>30.963999999999999</v>
      </c>
      <c r="D305">
        <v>90</v>
      </c>
      <c r="E305">
        <v>30</v>
      </c>
      <c r="F305">
        <v>33.779000000000003</v>
      </c>
      <c r="G305">
        <f t="shared" si="8"/>
        <v>23.808601111111113</v>
      </c>
      <c r="H305">
        <f t="shared" si="9"/>
        <v>90.50938305555556</v>
      </c>
    </row>
    <row r="306" spans="1:8" x14ac:dyDescent="0.3">
      <c r="A306">
        <v>23</v>
      </c>
      <c r="B306">
        <v>48</v>
      </c>
      <c r="C306">
        <v>52.814999999999998</v>
      </c>
      <c r="D306">
        <v>90</v>
      </c>
      <c r="E306">
        <v>19</v>
      </c>
      <c r="F306">
        <v>57.607999999999997</v>
      </c>
      <c r="G306">
        <f t="shared" si="8"/>
        <v>23.814670833333334</v>
      </c>
      <c r="H306">
        <f t="shared" si="9"/>
        <v>90.33266888888889</v>
      </c>
    </row>
    <row r="307" spans="1:8" x14ac:dyDescent="0.3">
      <c r="A307">
        <v>23</v>
      </c>
      <c r="B307">
        <v>48</v>
      </c>
      <c r="C307">
        <v>53.424999999999997</v>
      </c>
      <c r="D307">
        <v>90</v>
      </c>
      <c r="E307">
        <v>20</v>
      </c>
      <c r="F307">
        <v>32.914000000000001</v>
      </c>
      <c r="G307">
        <f t="shared" si="8"/>
        <v>23.81484027777778</v>
      </c>
      <c r="H307">
        <f t="shared" si="9"/>
        <v>90.342476111111111</v>
      </c>
    </row>
    <row r="308" spans="1:8" x14ac:dyDescent="0.3">
      <c r="A308">
        <v>23</v>
      </c>
      <c r="B308">
        <v>48</v>
      </c>
      <c r="C308">
        <v>54.033000000000001</v>
      </c>
      <c r="D308">
        <v>90</v>
      </c>
      <c r="E308">
        <v>21</v>
      </c>
      <c r="F308">
        <v>8.2200000000000006</v>
      </c>
      <c r="G308">
        <f t="shared" si="8"/>
        <v>23.815009166666666</v>
      </c>
      <c r="H308">
        <f t="shared" si="9"/>
        <v>90.352283333333332</v>
      </c>
    </row>
    <row r="309" spans="1:8" x14ac:dyDescent="0.3">
      <c r="A309">
        <v>23</v>
      </c>
      <c r="B309">
        <v>48</v>
      </c>
      <c r="C309">
        <v>54.637999999999998</v>
      </c>
      <c r="D309">
        <v>90</v>
      </c>
      <c r="E309">
        <v>21</v>
      </c>
      <c r="F309">
        <v>43.526000000000003</v>
      </c>
      <c r="G309">
        <f t="shared" si="8"/>
        <v>23.815177222222221</v>
      </c>
      <c r="H309">
        <f t="shared" si="9"/>
        <v>90.362090555555554</v>
      </c>
    </row>
    <row r="310" spans="1:8" x14ac:dyDescent="0.3">
      <c r="A310">
        <v>23</v>
      </c>
      <c r="B310">
        <v>48</v>
      </c>
      <c r="C310">
        <v>55.241</v>
      </c>
      <c r="D310">
        <v>90</v>
      </c>
      <c r="E310">
        <v>22</v>
      </c>
      <c r="F310">
        <v>18.832999999999998</v>
      </c>
      <c r="G310">
        <f t="shared" si="8"/>
        <v>23.815344722222221</v>
      </c>
      <c r="H310">
        <f t="shared" si="9"/>
        <v>90.371898055555548</v>
      </c>
    </row>
    <row r="311" spans="1:8" x14ac:dyDescent="0.3">
      <c r="A311">
        <v>23</v>
      </c>
      <c r="B311">
        <v>48</v>
      </c>
      <c r="C311">
        <v>55.841999999999999</v>
      </c>
      <c r="D311">
        <v>90</v>
      </c>
      <c r="E311">
        <v>22</v>
      </c>
      <c r="F311">
        <v>54.14</v>
      </c>
      <c r="G311">
        <f t="shared" si="8"/>
        <v>23.815511666666666</v>
      </c>
      <c r="H311">
        <f t="shared" si="9"/>
        <v>90.381705555555556</v>
      </c>
    </row>
    <row r="312" spans="1:8" x14ac:dyDescent="0.3">
      <c r="A312">
        <v>23</v>
      </c>
      <c r="B312">
        <v>48</v>
      </c>
      <c r="C312">
        <v>56.441000000000003</v>
      </c>
      <c r="D312">
        <v>90</v>
      </c>
      <c r="E312">
        <v>23</v>
      </c>
      <c r="F312">
        <v>29.446999999999999</v>
      </c>
      <c r="G312">
        <f t="shared" si="8"/>
        <v>23.815678055555555</v>
      </c>
      <c r="H312">
        <f t="shared" si="9"/>
        <v>90.391513055555563</v>
      </c>
    </row>
    <row r="313" spans="1:8" x14ac:dyDescent="0.3">
      <c r="A313">
        <v>23</v>
      </c>
      <c r="B313">
        <v>48</v>
      </c>
      <c r="C313">
        <v>57.036999999999999</v>
      </c>
      <c r="D313">
        <v>90</v>
      </c>
      <c r="E313">
        <v>24</v>
      </c>
      <c r="F313">
        <v>4.7539999999999996</v>
      </c>
      <c r="G313">
        <f t="shared" si="8"/>
        <v>23.815843611111113</v>
      </c>
      <c r="H313">
        <f t="shared" si="9"/>
        <v>90.401320555555557</v>
      </c>
    </row>
    <row r="314" spans="1:8" x14ac:dyDescent="0.3">
      <c r="A314">
        <v>23</v>
      </c>
      <c r="B314">
        <v>48</v>
      </c>
      <c r="C314">
        <v>57.631</v>
      </c>
      <c r="D314">
        <v>90</v>
      </c>
      <c r="E314">
        <v>24</v>
      </c>
      <c r="F314">
        <v>40.061999999999998</v>
      </c>
      <c r="G314">
        <f t="shared" si="8"/>
        <v>23.816008611111112</v>
      </c>
      <c r="H314">
        <f t="shared" si="9"/>
        <v>90.411128333333338</v>
      </c>
    </row>
    <row r="315" spans="1:8" x14ac:dyDescent="0.3">
      <c r="A315">
        <v>23</v>
      </c>
      <c r="B315">
        <v>48</v>
      </c>
      <c r="C315">
        <v>58.222999999999999</v>
      </c>
      <c r="D315">
        <v>90</v>
      </c>
      <c r="E315">
        <v>25</v>
      </c>
      <c r="F315">
        <v>15.371</v>
      </c>
      <c r="G315">
        <f t="shared" si="8"/>
        <v>23.816173055555556</v>
      </c>
      <c r="H315">
        <f t="shared" si="9"/>
        <v>90.42093638888889</v>
      </c>
    </row>
    <row r="316" spans="1:8" x14ac:dyDescent="0.3">
      <c r="A316">
        <v>23</v>
      </c>
      <c r="B316">
        <v>48</v>
      </c>
      <c r="C316">
        <v>58.813000000000002</v>
      </c>
      <c r="D316">
        <v>90</v>
      </c>
      <c r="E316">
        <v>25</v>
      </c>
      <c r="F316">
        <v>50.679000000000002</v>
      </c>
      <c r="G316">
        <f t="shared" si="8"/>
        <v>23.816336944444444</v>
      </c>
      <c r="H316">
        <f t="shared" si="9"/>
        <v>90.43074416666667</v>
      </c>
    </row>
    <row r="317" spans="1:8" x14ac:dyDescent="0.3">
      <c r="A317">
        <v>23</v>
      </c>
      <c r="B317">
        <v>48</v>
      </c>
      <c r="C317">
        <v>59.401000000000003</v>
      </c>
      <c r="D317">
        <v>90</v>
      </c>
      <c r="E317">
        <v>26</v>
      </c>
      <c r="F317">
        <v>25.988</v>
      </c>
      <c r="G317">
        <f t="shared" si="8"/>
        <v>23.816500277777777</v>
      </c>
      <c r="H317">
        <f t="shared" si="9"/>
        <v>90.440552222222223</v>
      </c>
    </row>
    <row r="318" spans="1:8" x14ac:dyDescent="0.3">
      <c r="A318">
        <v>23</v>
      </c>
      <c r="B318">
        <v>48</v>
      </c>
      <c r="C318">
        <v>59.985999999999997</v>
      </c>
      <c r="D318">
        <v>90</v>
      </c>
      <c r="E318">
        <v>27</v>
      </c>
      <c r="F318">
        <v>1.2969999999999999</v>
      </c>
      <c r="G318">
        <f t="shared" si="8"/>
        <v>23.816662777777779</v>
      </c>
      <c r="H318">
        <f t="shared" si="9"/>
        <v>90.450360277777776</v>
      </c>
    </row>
    <row r="319" spans="1:8" x14ac:dyDescent="0.3">
      <c r="A319">
        <v>23</v>
      </c>
      <c r="B319">
        <v>49</v>
      </c>
      <c r="C319">
        <v>0.56899999999999995</v>
      </c>
      <c r="D319">
        <v>90</v>
      </c>
      <c r="E319">
        <v>27</v>
      </c>
      <c r="F319">
        <v>36.606999999999999</v>
      </c>
      <c r="G319">
        <f t="shared" si="8"/>
        <v>23.816824722222222</v>
      </c>
      <c r="H319">
        <f t="shared" si="9"/>
        <v>90.460168611111115</v>
      </c>
    </row>
    <row r="320" spans="1:8" x14ac:dyDescent="0.3">
      <c r="A320">
        <v>23</v>
      </c>
      <c r="B320">
        <v>49</v>
      </c>
      <c r="C320">
        <v>1.1499999999999999</v>
      </c>
      <c r="D320">
        <v>90</v>
      </c>
      <c r="E320">
        <v>28</v>
      </c>
      <c r="F320">
        <v>11.916</v>
      </c>
      <c r="G320">
        <f t="shared" si="8"/>
        <v>23.81698611111111</v>
      </c>
      <c r="H320">
        <f t="shared" si="9"/>
        <v>90.469976666666668</v>
      </c>
    </row>
    <row r="321" spans="1:8" x14ac:dyDescent="0.3">
      <c r="A321">
        <v>23</v>
      </c>
      <c r="B321">
        <v>49</v>
      </c>
      <c r="C321">
        <v>1.728</v>
      </c>
      <c r="D321">
        <v>90</v>
      </c>
      <c r="E321">
        <v>28</v>
      </c>
      <c r="F321">
        <v>47.225999999999999</v>
      </c>
      <c r="G321">
        <f t="shared" si="8"/>
        <v>23.817146666666666</v>
      </c>
      <c r="H321">
        <f t="shared" si="9"/>
        <v>90.479785000000007</v>
      </c>
    </row>
    <row r="322" spans="1:8" x14ac:dyDescent="0.3">
      <c r="A322">
        <v>23</v>
      </c>
      <c r="B322">
        <v>49</v>
      </c>
      <c r="C322">
        <v>2.3039999999999998</v>
      </c>
      <c r="D322">
        <v>90</v>
      </c>
      <c r="E322">
        <v>29</v>
      </c>
      <c r="F322">
        <v>22.536999999999999</v>
      </c>
      <c r="G322">
        <f t="shared" si="8"/>
        <v>23.817306666666667</v>
      </c>
      <c r="H322">
        <f t="shared" si="9"/>
        <v>90.489593611111118</v>
      </c>
    </row>
    <row r="323" spans="1:8" x14ac:dyDescent="0.3">
      <c r="A323">
        <v>23</v>
      </c>
      <c r="B323">
        <v>49</v>
      </c>
      <c r="C323">
        <v>2.879</v>
      </c>
      <c r="D323">
        <v>90</v>
      </c>
      <c r="E323">
        <v>29</v>
      </c>
      <c r="F323">
        <v>57.847999999999999</v>
      </c>
      <c r="G323">
        <f t="shared" ref="G323:G386" si="10">DecimalDegreesConverter(A323,B323,C323)</f>
        <v>23.817466388888889</v>
      </c>
      <c r="H323">
        <f t="shared" ref="H323:H386" si="11">DecimalDegreesConverter(D323,E323,F323)</f>
        <v>90.49940222222223</v>
      </c>
    </row>
    <row r="324" spans="1:8" x14ac:dyDescent="0.3">
      <c r="A324">
        <v>23</v>
      </c>
      <c r="B324">
        <v>49</v>
      </c>
      <c r="C324">
        <v>3.45</v>
      </c>
      <c r="D324">
        <v>90</v>
      </c>
      <c r="E324">
        <v>30</v>
      </c>
      <c r="F324">
        <v>33.158999999999999</v>
      </c>
      <c r="G324">
        <f t="shared" si="10"/>
        <v>23.817625</v>
      </c>
      <c r="H324">
        <f t="shared" si="11"/>
        <v>90.509210833333327</v>
      </c>
    </row>
    <row r="325" spans="1:8" x14ac:dyDescent="0.3">
      <c r="A325">
        <v>23</v>
      </c>
      <c r="B325">
        <v>49</v>
      </c>
      <c r="C325">
        <v>25.297000000000001</v>
      </c>
      <c r="D325">
        <v>90</v>
      </c>
      <c r="E325">
        <v>19</v>
      </c>
      <c r="F325">
        <v>56.944000000000003</v>
      </c>
      <c r="G325">
        <f t="shared" si="10"/>
        <v>23.823693611111111</v>
      </c>
      <c r="H325">
        <f t="shared" si="11"/>
        <v>90.332484444444447</v>
      </c>
    </row>
    <row r="326" spans="1:8" x14ac:dyDescent="0.3">
      <c r="A326">
        <v>23</v>
      </c>
      <c r="B326">
        <v>49</v>
      </c>
      <c r="C326">
        <v>25.907</v>
      </c>
      <c r="D326">
        <v>90</v>
      </c>
      <c r="E326">
        <v>20</v>
      </c>
      <c r="F326">
        <v>32.252000000000002</v>
      </c>
      <c r="G326">
        <f t="shared" si="10"/>
        <v>23.823863055555556</v>
      </c>
      <c r="H326">
        <f t="shared" si="11"/>
        <v>90.342292222222213</v>
      </c>
    </row>
    <row r="327" spans="1:8" x14ac:dyDescent="0.3">
      <c r="A327">
        <v>23</v>
      </c>
      <c r="B327">
        <v>49</v>
      </c>
      <c r="C327">
        <v>26.515000000000001</v>
      </c>
      <c r="D327">
        <v>90</v>
      </c>
      <c r="E327">
        <v>21</v>
      </c>
      <c r="F327">
        <v>7.56</v>
      </c>
      <c r="G327">
        <f t="shared" si="10"/>
        <v>23.824031944444446</v>
      </c>
      <c r="H327">
        <f t="shared" si="11"/>
        <v>90.352099999999993</v>
      </c>
    </row>
    <row r="328" spans="1:8" x14ac:dyDescent="0.3">
      <c r="A328">
        <v>23</v>
      </c>
      <c r="B328">
        <v>49</v>
      </c>
      <c r="C328">
        <v>27.12</v>
      </c>
      <c r="D328">
        <v>90</v>
      </c>
      <c r="E328">
        <v>21</v>
      </c>
      <c r="F328">
        <v>42.869</v>
      </c>
      <c r="G328">
        <f t="shared" si="10"/>
        <v>23.824200000000001</v>
      </c>
      <c r="H328">
        <f t="shared" si="11"/>
        <v>90.361908055555546</v>
      </c>
    </row>
    <row r="329" spans="1:8" x14ac:dyDescent="0.3">
      <c r="A329">
        <v>23</v>
      </c>
      <c r="B329">
        <v>49</v>
      </c>
      <c r="C329">
        <v>27.724</v>
      </c>
      <c r="D329">
        <v>90</v>
      </c>
      <c r="E329">
        <v>22</v>
      </c>
      <c r="F329">
        <v>18.178000000000001</v>
      </c>
      <c r="G329">
        <f t="shared" si="10"/>
        <v>23.824367777777777</v>
      </c>
      <c r="H329">
        <f t="shared" si="11"/>
        <v>90.371716111111098</v>
      </c>
    </row>
    <row r="330" spans="1:8" x14ac:dyDescent="0.3">
      <c r="A330">
        <v>23</v>
      </c>
      <c r="B330">
        <v>49</v>
      </c>
      <c r="C330">
        <v>28.324999999999999</v>
      </c>
      <c r="D330">
        <v>90</v>
      </c>
      <c r="E330">
        <v>22</v>
      </c>
      <c r="F330">
        <v>53.487000000000002</v>
      </c>
      <c r="G330">
        <f t="shared" si="10"/>
        <v>23.824534722222221</v>
      </c>
      <c r="H330">
        <f t="shared" si="11"/>
        <v>90.381524166666665</v>
      </c>
    </row>
    <row r="331" spans="1:8" x14ac:dyDescent="0.3">
      <c r="A331">
        <v>23</v>
      </c>
      <c r="B331">
        <v>49</v>
      </c>
      <c r="C331">
        <v>28.923999999999999</v>
      </c>
      <c r="D331">
        <v>90</v>
      </c>
      <c r="E331">
        <v>23</v>
      </c>
      <c r="F331">
        <v>28.797000000000001</v>
      </c>
      <c r="G331">
        <f t="shared" si="10"/>
        <v>23.824701111111111</v>
      </c>
      <c r="H331">
        <f t="shared" si="11"/>
        <v>90.391332500000004</v>
      </c>
    </row>
    <row r="332" spans="1:8" x14ac:dyDescent="0.3">
      <c r="A332">
        <v>23</v>
      </c>
      <c r="B332">
        <v>49</v>
      </c>
      <c r="C332">
        <v>29.521000000000001</v>
      </c>
      <c r="D332">
        <v>90</v>
      </c>
      <c r="E332">
        <v>24</v>
      </c>
      <c r="F332">
        <v>4.1070000000000002</v>
      </c>
      <c r="G332">
        <f t="shared" si="10"/>
        <v>23.824866944444445</v>
      </c>
      <c r="H332">
        <f t="shared" si="11"/>
        <v>90.401140833333343</v>
      </c>
    </row>
    <row r="333" spans="1:8" x14ac:dyDescent="0.3">
      <c r="A333">
        <v>23</v>
      </c>
      <c r="B333">
        <v>49</v>
      </c>
      <c r="C333">
        <v>30.114999999999998</v>
      </c>
      <c r="D333">
        <v>90</v>
      </c>
      <c r="E333">
        <v>24</v>
      </c>
      <c r="F333">
        <v>39.417000000000002</v>
      </c>
      <c r="G333">
        <f t="shared" si="10"/>
        <v>23.825031944444444</v>
      </c>
      <c r="H333">
        <f t="shared" si="11"/>
        <v>90.410949166666668</v>
      </c>
    </row>
    <row r="334" spans="1:8" x14ac:dyDescent="0.3">
      <c r="A334">
        <v>23</v>
      </c>
      <c r="B334">
        <v>49</v>
      </c>
      <c r="C334">
        <v>30.707000000000001</v>
      </c>
      <c r="D334">
        <v>90</v>
      </c>
      <c r="E334">
        <v>25</v>
      </c>
      <c r="F334">
        <v>14.728</v>
      </c>
      <c r="G334">
        <f t="shared" si="10"/>
        <v>23.825196388888887</v>
      </c>
      <c r="H334">
        <f t="shared" si="11"/>
        <v>90.42075777777778</v>
      </c>
    </row>
    <row r="335" spans="1:8" x14ac:dyDescent="0.3">
      <c r="A335">
        <v>23</v>
      </c>
      <c r="B335">
        <v>49</v>
      </c>
      <c r="C335">
        <v>31.297000000000001</v>
      </c>
      <c r="D335">
        <v>90</v>
      </c>
      <c r="E335">
        <v>25</v>
      </c>
      <c r="F335">
        <v>50.039000000000001</v>
      </c>
      <c r="G335">
        <f t="shared" si="10"/>
        <v>23.825360277777779</v>
      </c>
      <c r="H335">
        <f t="shared" si="11"/>
        <v>90.430566388888892</v>
      </c>
    </row>
    <row r="336" spans="1:8" x14ac:dyDescent="0.3">
      <c r="A336">
        <v>23</v>
      </c>
      <c r="B336">
        <v>49</v>
      </c>
      <c r="C336">
        <v>31.885000000000002</v>
      </c>
      <c r="D336">
        <v>90</v>
      </c>
      <c r="E336">
        <v>26</v>
      </c>
      <c r="F336">
        <v>25.35</v>
      </c>
      <c r="G336">
        <f t="shared" si="10"/>
        <v>23.825523611111112</v>
      </c>
      <c r="H336">
        <f t="shared" si="11"/>
        <v>90.440375000000003</v>
      </c>
    </row>
    <row r="337" spans="1:8" x14ac:dyDescent="0.3">
      <c r="A337">
        <v>23</v>
      </c>
      <c r="B337">
        <v>49</v>
      </c>
      <c r="C337">
        <v>32.470999999999997</v>
      </c>
      <c r="D337">
        <v>90</v>
      </c>
      <c r="E337">
        <v>27</v>
      </c>
      <c r="F337">
        <v>0.66200000000000003</v>
      </c>
      <c r="G337">
        <f t="shared" si="10"/>
        <v>23.82568638888889</v>
      </c>
      <c r="H337">
        <f t="shared" si="11"/>
        <v>90.450183888888887</v>
      </c>
    </row>
    <row r="338" spans="1:8" x14ac:dyDescent="0.3">
      <c r="A338">
        <v>23</v>
      </c>
      <c r="B338">
        <v>49</v>
      </c>
      <c r="C338">
        <v>33.054000000000002</v>
      </c>
      <c r="D338">
        <v>90</v>
      </c>
      <c r="E338">
        <v>27</v>
      </c>
      <c r="F338">
        <v>35.973999999999997</v>
      </c>
      <c r="G338">
        <f t="shared" si="10"/>
        <v>23.825848333333333</v>
      </c>
      <c r="H338">
        <f t="shared" si="11"/>
        <v>90.459992777777785</v>
      </c>
    </row>
    <row r="339" spans="1:8" x14ac:dyDescent="0.3">
      <c r="A339">
        <v>23</v>
      </c>
      <c r="B339">
        <v>49</v>
      </c>
      <c r="C339">
        <v>33.634999999999998</v>
      </c>
      <c r="D339">
        <v>90</v>
      </c>
      <c r="E339">
        <v>28</v>
      </c>
      <c r="F339">
        <v>11.286</v>
      </c>
      <c r="G339">
        <f t="shared" si="10"/>
        <v>23.826009722222221</v>
      </c>
      <c r="H339">
        <f t="shared" si="11"/>
        <v>90.469801666666669</v>
      </c>
    </row>
    <row r="340" spans="1:8" x14ac:dyDescent="0.3">
      <c r="A340">
        <v>23</v>
      </c>
      <c r="B340">
        <v>49</v>
      </c>
      <c r="C340">
        <v>34.213999999999999</v>
      </c>
      <c r="D340">
        <v>90</v>
      </c>
      <c r="E340">
        <v>28</v>
      </c>
      <c r="F340">
        <v>46.598999999999997</v>
      </c>
      <c r="G340">
        <f t="shared" si="10"/>
        <v>23.826170555555557</v>
      </c>
      <c r="H340">
        <f t="shared" si="11"/>
        <v>90.479610833333339</v>
      </c>
    </row>
    <row r="341" spans="1:8" x14ac:dyDescent="0.3">
      <c r="A341">
        <v>23</v>
      </c>
      <c r="B341">
        <v>49</v>
      </c>
      <c r="C341">
        <v>34.79</v>
      </c>
      <c r="D341">
        <v>90</v>
      </c>
      <c r="E341">
        <v>29</v>
      </c>
      <c r="F341">
        <v>21.911999999999999</v>
      </c>
      <c r="G341">
        <f t="shared" si="10"/>
        <v>23.826330555555554</v>
      </c>
      <c r="H341">
        <f t="shared" si="11"/>
        <v>90.489419999999996</v>
      </c>
    </row>
    <row r="342" spans="1:8" x14ac:dyDescent="0.3">
      <c r="A342">
        <v>23</v>
      </c>
      <c r="B342">
        <v>49</v>
      </c>
      <c r="C342">
        <v>35.363999999999997</v>
      </c>
      <c r="D342">
        <v>90</v>
      </c>
      <c r="E342">
        <v>29</v>
      </c>
      <c r="F342">
        <v>57.225000000000001</v>
      </c>
      <c r="G342">
        <f t="shared" si="10"/>
        <v>23.82649</v>
      </c>
      <c r="H342">
        <f t="shared" si="11"/>
        <v>90.499229166666666</v>
      </c>
    </row>
    <row r="343" spans="1:8" x14ac:dyDescent="0.3">
      <c r="A343">
        <v>23</v>
      </c>
      <c r="B343">
        <v>49</v>
      </c>
      <c r="C343">
        <v>35.936</v>
      </c>
      <c r="D343">
        <v>90</v>
      </c>
      <c r="E343">
        <v>30</v>
      </c>
      <c r="F343">
        <v>32.537999999999997</v>
      </c>
      <c r="G343">
        <f t="shared" si="10"/>
        <v>23.82664888888889</v>
      </c>
      <c r="H343">
        <f t="shared" si="11"/>
        <v>90.509038333333336</v>
      </c>
    </row>
    <row r="344" spans="1:8" x14ac:dyDescent="0.3">
      <c r="A344">
        <v>23</v>
      </c>
      <c r="B344">
        <v>49</v>
      </c>
      <c r="C344">
        <v>57.777999999999999</v>
      </c>
      <c r="D344">
        <v>90</v>
      </c>
      <c r="E344">
        <v>19</v>
      </c>
      <c r="F344">
        <v>56.279000000000003</v>
      </c>
      <c r="G344">
        <f t="shared" si="10"/>
        <v>23.832716111111111</v>
      </c>
      <c r="H344">
        <f t="shared" si="11"/>
        <v>90.332299722222217</v>
      </c>
    </row>
    <row r="345" spans="1:8" x14ac:dyDescent="0.3">
      <c r="A345">
        <v>23</v>
      </c>
      <c r="B345">
        <v>49</v>
      </c>
      <c r="C345">
        <v>58.389000000000003</v>
      </c>
      <c r="D345">
        <v>90</v>
      </c>
      <c r="E345">
        <v>20</v>
      </c>
      <c r="F345">
        <v>31.59</v>
      </c>
      <c r="G345">
        <f t="shared" si="10"/>
        <v>23.832885833333332</v>
      </c>
      <c r="H345">
        <f t="shared" si="11"/>
        <v>90.342108333333329</v>
      </c>
    </row>
    <row r="346" spans="1:8" x14ac:dyDescent="0.3">
      <c r="A346">
        <v>23</v>
      </c>
      <c r="B346">
        <v>49</v>
      </c>
      <c r="C346">
        <v>58.997</v>
      </c>
      <c r="D346">
        <v>90</v>
      </c>
      <c r="E346">
        <v>21</v>
      </c>
      <c r="F346">
        <v>6.9009999999999998</v>
      </c>
      <c r="G346">
        <f t="shared" si="10"/>
        <v>23.833054722222222</v>
      </c>
      <c r="H346">
        <f t="shared" si="11"/>
        <v>90.35191694444444</v>
      </c>
    </row>
    <row r="347" spans="1:8" x14ac:dyDescent="0.3">
      <c r="A347">
        <v>23</v>
      </c>
      <c r="B347">
        <v>49</v>
      </c>
      <c r="C347">
        <v>59.603000000000002</v>
      </c>
      <c r="D347">
        <v>90</v>
      </c>
      <c r="E347">
        <v>21</v>
      </c>
      <c r="F347">
        <v>42.212000000000003</v>
      </c>
      <c r="G347">
        <f t="shared" si="10"/>
        <v>23.833223055555557</v>
      </c>
      <c r="H347">
        <f t="shared" si="11"/>
        <v>90.361725555555552</v>
      </c>
    </row>
    <row r="348" spans="1:8" x14ac:dyDescent="0.3">
      <c r="A348">
        <v>23</v>
      </c>
      <c r="B348">
        <v>50</v>
      </c>
      <c r="C348">
        <v>0.20599999999999999</v>
      </c>
      <c r="D348">
        <v>90</v>
      </c>
      <c r="E348">
        <v>22</v>
      </c>
      <c r="F348">
        <v>17.523</v>
      </c>
      <c r="G348">
        <f t="shared" si="10"/>
        <v>23.833390555555553</v>
      </c>
      <c r="H348">
        <f t="shared" si="11"/>
        <v>90.371534166666663</v>
      </c>
    </row>
    <row r="349" spans="1:8" x14ac:dyDescent="0.3">
      <c r="A349">
        <v>23</v>
      </c>
      <c r="B349">
        <v>50</v>
      </c>
      <c r="C349">
        <v>0.80800000000000005</v>
      </c>
      <c r="D349">
        <v>90</v>
      </c>
      <c r="E349">
        <v>22</v>
      </c>
      <c r="F349">
        <v>52.835000000000001</v>
      </c>
      <c r="G349">
        <f t="shared" si="10"/>
        <v>23.833557777777777</v>
      </c>
      <c r="H349">
        <f t="shared" si="11"/>
        <v>90.381343055555547</v>
      </c>
    </row>
    <row r="350" spans="1:8" x14ac:dyDescent="0.3">
      <c r="A350">
        <v>23</v>
      </c>
      <c r="B350">
        <v>50</v>
      </c>
      <c r="C350">
        <v>1.407</v>
      </c>
      <c r="D350">
        <v>90</v>
      </c>
      <c r="E350">
        <v>23</v>
      </c>
      <c r="F350">
        <v>28.146999999999998</v>
      </c>
      <c r="G350">
        <f t="shared" si="10"/>
        <v>23.833724166666666</v>
      </c>
      <c r="H350">
        <f t="shared" si="11"/>
        <v>90.391151944444445</v>
      </c>
    </row>
    <row r="351" spans="1:8" x14ac:dyDescent="0.3">
      <c r="A351">
        <v>23</v>
      </c>
      <c r="B351">
        <v>50</v>
      </c>
      <c r="C351">
        <v>2.004</v>
      </c>
      <c r="D351">
        <v>90</v>
      </c>
      <c r="E351">
        <v>24</v>
      </c>
      <c r="F351">
        <v>3.46</v>
      </c>
      <c r="G351">
        <f t="shared" si="10"/>
        <v>23.83389</v>
      </c>
      <c r="H351">
        <f t="shared" si="11"/>
        <v>90.400961111111116</v>
      </c>
    </row>
    <row r="352" spans="1:8" x14ac:dyDescent="0.3">
      <c r="A352">
        <v>23</v>
      </c>
      <c r="B352">
        <v>50</v>
      </c>
      <c r="C352">
        <v>2.5990000000000002</v>
      </c>
      <c r="D352">
        <v>90</v>
      </c>
      <c r="E352">
        <v>24</v>
      </c>
      <c r="F352">
        <v>38.771999999999998</v>
      </c>
      <c r="G352">
        <f t="shared" si="10"/>
        <v>23.834055277777775</v>
      </c>
      <c r="H352">
        <f t="shared" si="11"/>
        <v>90.410769999999999</v>
      </c>
    </row>
    <row r="353" spans="1:8" x14ac:dyDescent="0.3">
      <c r="A353">
        <v>23</v>
      </c>
      <c r="B353">
        <v>50</v>
      </c>
      <c r="C353">
        <v>3.1909999999999998</v>
      </c>
      <c r="D353">
        <v>90</v>
      </c>
      <c r="E353">
        <v>25</v>
      </c>
      <c r="F353">
        <v>14.085000000000001</v>
      </c>
      <c r="G353">
        <f t="shared" si="10"/>
        <v>23.834219722222223</v>
      </c>
      <c r="H353">
        <f t="shared" si="11"/>
        <v>90.42057916666667</v>
      </c>
    </row>
    <row r="354" spans="1:8" x14ac:dyDescent="0.3">
      <c r="A354">
        <v>23</v>
      </c>
      <c r="B354">
        <v>50</v>
      </c>
      <c r="C354">
        <v>3.7810000000000001</v>
      </c>
      <c r="D354">
        <v>90</v>
      </c>
      <c r="E354">
        <v>25</v>
      </c>
      <c r="F354">
        <v>49.399000000000001</v>
      </c>
      <c r="G354">
        <f t="shared" si="10"/>
        <v>23.834383611111111</v>
      </c>
      <c r="H354">
        <f t="shared" si="11"/>
        <v>90.430388611111113</v>
      </c>
    </row>
    <row r="355" spans="1:8" x14ac:dyDescent="0.3">
      <c r="A355">
        <v>23</v>
      </c>
      <c r="B355">
        <v>50</v>
      </c>
      <c r="C355">
        <v>4.3689999999999998</v>
      </c>
      <c r="D355">
        <v>90</v>
      </c>
      <c r="E355">
        <v>26</v>
      </c>
      <c r="F355">
        <v>24.713000000000001</v>
      </c>
      <c r="G355">
        <f t="shared" si="10"/>
        <v>23.834546944444444</v>
      </c>
      <c r="H355">
        <f t="shared" si="11"/>
        <v>90.440198055555555</v>
      </c>
    </row>
    <row r="356" spans="1:8" x14ac:dyDescent="0.3">
      <c r="A356">
        <v>23</v>
      </c>
      <c r="B356">
        <v>50</v>
      </c>
      <c r="C356">
        <v>4.9550000000000001</v>
      </c>
      <c r="D356">
        <v>90</v>
      </c>
      <c r="E356">
        <v>27</v>
      </c>
      <c r="F356">
        <v>2.7E-2</v>
      </c>
      <c r="G356">
        <f t="shared" si="10"/>
        <v>23.834709722222222</v>
      </c>
      <c r="H356">
        <f t="shared" si="11"/>
        <v>90.450007499999998</v>
      </c>
    </row>
    <row r="357" spans="1:8" x14ac:dyDescent="0.3">
      <c r="A357">
        <v>23</v>
      </c>
      <c r="B357">
        <v>50</v>
      </c>
      <c r="C357">
        <v>5.5389999999999997</v>
      </c>
      <c r="D357">
        <v>90</v>
      </c>
      <c r="E357">
        <v>27</v>
      </c>
      <c r="F357">
        <v>35.341000000000001</v>
      </c>
      <c r="G357">
        <f t="shared" si="10"/>
        <v>23.834871944444444</v>
      </c>
      <c r="H357">
        <f t="shared" si="11"/>
        <v>90.459816944444441</v>
      </c>
    </row>
    <row r="358" spans="1:8" x14ac:dyDescent="0.3">
      <c r="A358">
        <v>23</v>
      </c>
      <c r="B358">
        <v>50</v>
      </c>
      <c r="C358">
        <v>6.12</v>
      </c>
      <c r="D358">
        <v>90</v>
      </c>
      <c r="E358">
        <v>28</v>
      </c>
      <c r="F358">
        <v>10.656000000000001</v>
      </c>
      <c r="G358">
        <f t="shared" si="10"/>
        <v>23.835033333333332</v>
      </c>
      <c r="H358">
        <f t="shared" si="11"/>
        <v>90.46962666666667</v>
      </c>
    </row>
    <row r="359" spans="1:8" x14ac:dyDescent="0.3">
      <c r="A359">
        <v>23</v>
      </c>
      <c r="B359">
        <v>50</v>
      </c>
      <c r="C359">
        <v>6.6989999999999998</v>
      </c>
      <c r="D359">
        <v>90</v>
      </c>
      <c r="E359">
        <v>28</v>
      </c>
      <c r="F359">
        <v>45.970999999999997</v>
      </c>
      <c r="G359">
        <f t="shared" si="10"/>
        <v>23.835194166666664</v>
      </c>
      <c r="H359">
        <f t="shared" si="11"/>
        <v>90.479436388888885</v>
      </c>
    </row>
    <row r="360" spans="1:8" x14ac:dyDescent="0.3">
      <c r="A360">
        <v>23</v>
      </c>
      <c r="B360">
        <v>50</v>
      </c>
      <c r="C360">
        <v>7.2759999999999998</v>
      </c>
      <c r="D360">
        <v>90</v>
      </c>
      <c r="E360">
        <v>29</v>
      </c>
      <c r="F360">
        <v>21.286000000000001</v>
      </c>
      <c r="G360">
        <f t="shared" si="10"/>
        <v>23.835354444444445</v>
      </c>
      <c r="H360">
        <f t="shared" si="11"/>
        <v>90.489246111111115</v>
      </c>
    </row>
    <row r="361" spans="1:8" x14ac:dyDescent="0.3">
      <c r="A361">
        <v>23</v>
      </c>
      <c r="B361">
        <v>50</v>
      </c>
      <c r="C361">
        <v>7.85</v>
      </c>
      <c r="D361">
        <v>90</v>
      </c>
      <c r="E361">
        <v>29</v>
      </c>
      <c r="F361">
        <v>56.601999999999997</v>
      </c>
      <c r="G361">
        <f t="shared" si="10"/>
        <v>23.835513888888887</v>
      </c>
      <c r="H361">
        <f t="shared" si="11"/>
        <v>90.499056111111116</v>
      </c>
    </row>
    <row r="362" spans="1:8" x14ac:dyDescent="0.3">
      <c r="A362">
        <v>23</v>
      </c>
      <c r="B362">
        <v>50</v>
      </c>
      <c r="C362">
        <v>8.4220000000000006</v>
      </c>
      <c r="D362">
        <v>90</v>
      </c>
      <c r="E362">
        <v>30</v>
      </c>
      <c r="F362">
        <v>31.917000000000002</v>
      </c>
      <c r="G362">
        <f t="shared" si="10"/>
        <v>23.835672777777777</v>
      </c>
      <c r="H362">
        <f t="shared" si="11"/>
        <v>90.508865833333331</v>
      </c>
    </row>
    <row r="363" spans="1:8" x14ac:dyDescent="0.3">
      <c r="A363">
        <v>23</v>
      </c>
      <c r="B363">
        <v>50</v>
      </c>
      <c r="C363">
        <v>30.26</v>
      </c>
      <c r="D363">
        <v>90</v>
      </c>
      <c r="E363">
        <v>19</v>
      </c>
      <c r="F363">
        <v>55.613999999999997</v>
      </c>
      <c r="G363">
        <f t="shared" si="10"/>
        <v>23.841738888888887</v>
      </c>
      <c r="H363">
        <f t="shared" si="11"/>
        <v>90.332115000000002</v>
      </c>
    </row>
    <row r="364" spans="1:8" x14ac:dyDescent="0.3">
      <c r="A364">
        <v>23</v>
      </c>
      <c r="B364">
        <v>50</v>
      </c>
      <c r="C364">
        <v>30.87</v>
      </c>
      <c r="D364">
        <v>90</v>
      </c>
      <c r="E364">
        <v>20</v>
      </c>
      <c r="F364">
        <v>30.927</v>
      </c>
      <c r="G364">
        <f t="shared" si="10"/>
        <v>23.841908333333333</v>
      </c>
      <c r="H364">
        <f t="shared" si="11"/>
        <v>90.341924166666658</v>
      </c>
    </row>
    <row r="365" spans="1:8" x14ac:dyDescent="0.3">
      <c r="A365">
        <v>23</v>
      </c>
      <c r="B365">
        <v>50</v>
      </c>
      <c r="C365">
        <v>31.478999999999999</v>
      </c>
      <c r="D365">
        <v>90</v>
      </c>
      <c r="E365">
        <v>21</v>
      </c>
      <c r="F365">
        <v>6.24</v>
      </c>
      <c r="G365">
        <f t="shared" si="10"/>
        <v>23.842077499999998</v>
      </c>
      <c r="H365">
        <f t="shared" si="11"/>
        <v>90.351733333333328</v>
      </c>
    </row>
    <row r="366" spans="1:8" x14ac:dyDescent="0.3">
      <c r="A366">
        <v>23</v>
      </c>
      <c r="B366">
        <v>50</v>
      </c>
      <c r="C366">
        <v>32.085000000000001</v>
      </c>
      <c r="D366">
        <v>90</v>
      </c>
      <c r="E366">
        <v>21</v>
      </c>
      <c r="F366">
        <v>41.554000000000002</v>
      </c>
      <c r="G366">
        <f t="shared" si="10"/>
        <v>23.842245833333333</v>
      </c>
      <c r="H366">
        <f t="shared" si="11"/>
        <v>90.361542777777771</v>
      </c>
    </row>
    <row r="367" spans="1:8" x14ac:dyDescent="0.3">
      <c r="A367">
        <v>23</v>
      </c>
      <c r="B367">
        <v>50</v>
      </c>
      <c r="C367">
        <v>32.689</v>
      </c>
      <c r="D367">
        <v>90</v>
      </c>
      <c r="E367">
        <v>22</v>
      </c>
      <c r="F367">
        <v>16.867999999999999</v>
      </c>
      <c r="G367">
        <f t="shared" si="10"/>
        <v>23.842413611111109</v>
      </c>
      <c r="H367">
        <f t="shared" si="11"/>
        <v>90.371352222222214</v>
      </c>
    </row>
    <row r="368" spans="1:8" x14ac:dyDescent="0.3">
      <c r="A368">
        <v>23</v>
      </c>
      <c r="B368">
        <v>50</v>
      </c>
      <c r="C368">
        <v>33.290999999999997</v>
      </c>
      <c r="D368">
        <v>90</v>
      </c>
      <c r="E368">
        <v>22</v>
      </c>
      <c r="F368">
        <v>52.182000000000002</v>
      </c>
      <c r="G368">
        <f t="shared" si="10"/>
        <v>23.842580833333333</v>
      </c>
      <c r="H368">
        <f t="shared" si="11"/>
        <v>90.381161666666657</v>
      </c>
    </row>
    <row r="369" spans="1:8" x14ac:dyDescent="0.3">
      <c r="A369">
        <v>23</v>
      </c>
      <c r="B369">
        <v>50</v>
      </c>
      <c r="C369">
        <v>33.89</v>
      </c>
      <c r="D369">
        <v>90</v>
      </c>
      <c r="E369">
        <v>23</v>
      </c>
      <c r="F369">
        <v>27.497</v>
      </c>
      <c r="G369">
        <f t="shared" si="10"/>
        <v>23.842747222222222</v>
      </c>
      <c r="H369">
        <f t="shared" si="11"/>
        <v>90.3909713888889</v>
      </c>
    </row>
    <row r="370" spans="1:8" x14ac:dyDescent="0.3">
      <c r="A370">
        <v>23</v>
      </c>
      <c r="B370">
        <v>50</v>
      </c>
      <c r="C370">
        <v>34.487000000000002</v>
      </c>
      <c r="D370">
        <v>90</v>
      </c>
      <c r="E370">
        <v>24</v>
      </c>
      <c r="F370">
        <v>2.8119999999999998</v>
      </c>
      <c r="G370">
        <f t="shared" si="10"/>
        <v>23.842913055555556</v>
      </c>
      <c r="H370">
        <f t="shared" si="11"/>
        <v>90.400781111111115</v>
      </c>
    </row>
    <row r="371" spans="1:8" x14ac:dyDescent="0.3">
      <c r="A371">
        <v>23</v>
      </c>
      <c r="B371">
        <v>50</v>
      </c>
      <c r="C371">
        <v>35.082000000000001</v>
      </c>
      <c r="D371">
        <v>90</v>
      </c>
      <c r="E371">
        <v>24</v>
      </c>
      <c r="F371">
        <v>38.127000000000002</v>
      </c>
      <c r="G371">
        <f t="shared" si="10"/>
        <v>23.843078333333331</v>
      </c>
      <c r="H371">
        <f t="shared" si="11"/>
        <v>90.410590833333345</v>
      </c>
    </row>
    <row r="372" spans="1:8" x14ac:dyDescent="0.3">
      <c r="A372">
        <v>23</v>
      </c>
      <c r="B372">
        <v>50</v>
      </c>
      <c r="C372">
        <v>35.674999999999997</v>
      </c>
      <c r="D372">
        <v>90</v>
      </c>
      <c r="E372">
        <v>25</v>
      </c>
      <c r="F372">
        <v>13.442</v>
      </c>
      <c r="G372">
        <f t="shared" si="10"/>
        <v>23.843243055555554</v>
      </c>
      <c r="H372">
        <f t="shared" si="11"/>
        <v>90.42040055555556</v>
      </c>
    </row>
    <row r="373" spans="1:8" x14ac:dyDescent="0.3">
      <c r="A373">
        <v>23</v>
      </c>
      <c r="B373">
        <v>50</v>
      </c>
      <c r="C373">
        <v>36.265999999999998</v>
      </c>
      <c r="D373">
        <v>90</v>
      </c>
      <c r="E373">
        <v>25</v>
      </c>
      <c r="F373">
        <v>48.758000000000003</v>
      </c>
      <c r="G373">
        <f t="shared" si="10"/>
        <v>23.843407222222222</v>
      </c>
      <c r="H373">
        <f t="shared" si="11"/>
        <v>90.430210555555561</v>
      </c>
    </row>
    <row r="374" spans="1:8" x14ac:dyDescent="0.3">
      <c r="A374">
        <v>23</v>
      </c>
      <c r="B374">
        <v>50</v>
      </c>
      <c r="C374">
        <v>36.853999999999999</v>
      </c>
      <c r="D374">
        <v>90</v>
      </c>
      <c r="E374">
        <v>26</v>
      </c>
      <c r="F374">
        <v>24.074000000000002</v>
      </c>
      <c r="G374">
        <f t="shared" si="10"/>
        <v>23.843570555555555</v>
      </c>
      <c r="H374">
        <f t="shared" si="11"/>
        <v>90.440020555555563</v>
      </c>
    </row>
    <row r="375" spans="1:8" x14ac:dyDescent="0.3">
      <c r="A375">
        <v>23</v>
      </c>
      <c r="B375">
        <v>50</v>
      </c>
      <c r="C375">
        <v>37.44</v>
      </c>
      <c r="D375">
        <v>90</v>
      </c>
      <c r="E375">
        <v>26</v>
      </c>
      <c r="F375">
        <v>59.390999999999998</v>
      </c>
      <c r="G375">
        <f t="shared" si="10"/>
        <v>23.843733333333333</v>
      </c>
      <c r="H375">
        <f t="shared" si="11"/>
        <v>90.449830833333337</v>
      </c>
    </row>
    <row r="376" spans="1:8" x14ac:dyDescent="0.3">
      <c r="A376">
        <v>23</v>
      </c>
      <c r="B376">
        <v>50</v>
      </c>
      <c r="C376">
        <v>38.023000000000003</v>
      </c>
      <c r="D376">
        <v>90</v>
      </c>
      <c r="E376">
        <v>27</v>
      </c>
      <c r="F376">
        <v>34.707999999999998</v>
      </c>
      <c r="G376">
        <f t="shared" si="10"/>
        <v>23.843895277777776</v>
      </c>
      <c r="H376">
        <f t="shared" si="11"/>
        <v>90.459641111111111</v>
      </c>
    </row>
    <row r="377" spans="1:8" x14ac:dyDescent="0.3">
      <c r="A377">
        <v>23</v>
      </c>
      <c r="B377">
        <v>50</v>
      </c>
      <c r="C377">
        <v>38.604999999999997</v>
      </c>
      <c r="D377">
        <v>90</v>
      </c>
      <c r="E377">
        <v>28</v>
      </c>
      <c r="F377">
        <v>10.025</v>
      </c>
      <c r="G377">
        <f t="shared" si="10"/>
        <v>23.844056944444443</v>
      </c>
      <c r="H377">
        <f t="shared" si="11"/>
        <v>90.469451388888885</v>
      </c>
    </row>
    <row r="378" spans="1:8" x14ac:dyDescent="0.3">
      <c r="A378">
        <v>23</v>
      </c>
      <c r="B378">
        <v>50</v>
      </c>
      <c r="C378">
        <v>39.183999999999997</v>
      </c>
      <c r="D378">
        <v>90</v>
      </c>
      <c r="E378">
        <v>28</v>
      </c>
      <c r="F378">
        <v>45.341999999999999</v>
      </c>
      <c r="G378">
        <f t="shared" si="10"/>
        <v>23.844217777777775</v>
      </c>
      <c r="H378">
        <f t="shared" si="11"/>
        <v>90.479261666666673</v>
      </c>
    </row>
    <row r="379" spans="1:8" x14ac:dyDescent="0.3">
      <c r="A379">
        <v>23</v>
      </c>
      <c r="B379">
        <v>50</v>
      </c>
      <c r="C379">
        <v>39.761000000000003</v>
      </c>
      <c r="D379">
        <v>90</v>
      </c>
      <c r="E379">
        <v>29</v>
      </c>
      <c r="F379">
        <v>20.66</v>
      </c>
      <c r="G379">
        <f t="shared" si="10"/>
        <v>23.844378055555556</v>
      </c>
      <c r="H379">
        <f t="shared" si="11"/>
        <v>90.489072222222219</v>
      </c>
    </row>
    <row r="380" spans="1:8" x14ac:dyDescent="0.3">
      <c r="A380">
        <v>23</v>
      </c>
      <c r="B380">
        <v>50</v>
      </c>
      <c r="C380">
        <v>40.335999999999999</v>
      </c>
      <c r="D380">
        <v>90</v>
      </c>
      <c r="E380">
        <v>29</v>
      </c>
      <c r="F380">
        <v>55.978000000000002</v>
      </c>
      <c r="G380">
        <f t="shared" si="10"/>
        <v>23.844537777777777</v>
      </c>
      <c r="H380">
        <f t="shared" si="11"/>
        <v>90.49888277777778</v>
      </c>
    </row>
    <row r="381" spans="1:8" x14ac:dyDescent="0.3">
      <c r="A381">
        <v>23</v>
      </c>
      <c r="B381">
        <v>50</v>
      </c>
      <c r="C381">
        <v>40.908999999999999</v>
      </c>
      <c r="D381">
        <v>90</v>
      </c>
      <c r="E381">
        <v>30</v>
      </c>
      <c r="F381">
        <v>31.295999999999999</v>
      </c>
      <c r="G381">
        <f t="shared" si="10"/>
        <v>23.844696944444443</v>
      </c>
      <c r="H381">
        <f t="shared" si="11"/>
        <v>90.508693333333326</v>
      </c>
    </row>
    <row r="382" spans="1:8" x14ac:dyDescent="0.3">
      <c r="A382">
        <v>23</v>
      </c>
      <c r="B382">
        <v>51</v>
      </c>
      <c r="C382">
        <v>2.7410000000000001</v>
      </c>
      <c r="D382">
        <v>90</v>
      </c>
      <c r="E382">
        <v>19</v>
      </c>
      <c r="F382">
        <v>54.948999999999998</v>
      </c>
      <c r="G382">
        <f t="shared" si="10"/>
        <v>23.850761388888891</v>
      </c>
      <c r="H382">
        <f t="shared" si="11"/>
        <v>90.331930277777772</v>
      </c>
    </row>
    <row r="383" spans="1:8" x14ac:dyDescent="0.3">
      <c r="A383">
        <v>23</v>
      </c>
      <c r="B383">
        <v>51</v>
      </c>
      <c r="C383">
        <v>3.3519999999999999</v>
      </c>
      <c r="D383">
        <v>90</v>
      </c>
      <c r="E383">
        <v>20</v>
      </c>
      <c r="F383">
        <v>30.263999999999999</v>
      </c>
      <c r="G383">
        <f t="shared" si="10"/>
        <v>23.850931111111112</v>
      </c>
      <c r="H383">
        <f t="shared" si="11"/>
        <v>90.341740000000001</v>
      </c>
    </row>
    <row r="384" spans="1:8" x14ac:dyDescent="0.3">
      <c r="A384">
        <v>23</v>
      </c>
      <c r="B384">
        <v>51</v>
      </c>
      <c r="C384">
        <v>3.9609999999999999</v>
      </c>
      <c r="D384">
        <v>90</v>
      </c>
      <c r="E384">
        <v>21</v>
      </c>
      <c r="F384">
        <v>5.58</v>
      </c>
      <c r="G384">
        <f t="shared" si="10"/>
        <v>23.851100277777778</v>
      </c>
      <c r="H384">
        <f t="shared" si="11"/>
        <v>90.351549999999989</v>
      </c>
    </row>
    <row r="385" spans="1:8" x14ac:dyDescent="0.3">
      <c r="A385">
        <v>23</v>
      </c>
      <c r="B385">
        <v>51</v>
      </c>
      <c r="C385">
        <v>4.5670000000000002</v>
      </c>
      <c r="D385">
        <v>90</v>
      </c>
      <c r="E385">
        <v>21</v>
      </c>
      <c r="F385">
        <v>40.896000000000001</v>
      </c>
      <c r="G385">
        <f t="shared" si="10"/>
        <v>23.851268611111113</v>
      </c>
      <c r="H385">
        <f t="shared" si="11"/>
        <v>90.361359999999991</v>
      </c>
    </row>
    <row r="386" spans="1:8" x14ac:dyDescent="0.3">
      <c r="A386">
        <v>23</v>
      </c>
      <c r="B386">
        <v>51</v>
      </c>
      <c r="C386">
        <v>5.1710000000000003</v>
      </c>
      <c r="D386">
        <v>90</v>
      </c>
      <c r="E386">
        <v>22</v>
      </c>
      <c r="F386">
        <v>16.212</v>
      </c>
      <c r="G386">
        <f t="shared" si="10"/>
        <v>23.851436388888889</v>
      </c>
      <c r="H386">
        <f t="shared" si="11"/>
        <v>90.371169999999992</v>
      </c>
    </row>
    <row r="387" spans="1:8" x14ac:dyDescent="0.3">
      <c r="A387">
        <v>23</v>
      </c>
      <c r="B387">
        <v>51</v>
      </c>
      <c r="C387">
        <v>5.7729999999999997</v>
      </c>
      <c r="D387">
        <v>90</v>
      </c>
      <c r="E387">
        <v>22</v>
      </c>
      <c r="F387">
        <v>51.529000000000003</v>
      </c>
      <c r="G387">
        <f t="shared" ref="G387:G450" si="12">DecimalDegreesConverter(A387,B387,C387)</f>
        <v>23.851603611111113</v>
      </c>
      <c r="H387">
        <f t="shared" ref="H387:H450" si="13">DecimalDegreesConverter(D387,E387,F387)</f>
        <v>90.380980277777766</v>
      </c>
    </row>
    <row r="388" spans="1:8" x14ac:dyDescent="0.3">
      <c r="A388">
        <v>23</v>
      </c>
      <c r="B388">
        <v>51</v>
      </c>
      <c r="C388">
        <v>6.3730000000000002</v>
      </c>
      <c r="D388">
        <v>90</v>
      </c>
      <c r="E388">
        <v>23</v>
      </c>
      <c r="F388">
        <v>26.846</v>
      </c>
      <c r="G388">
        <f t="shared" si="12"/>
        <v>23.851770277777778</v>
      </c>
      <c r="H388">
        <f t="shared" si="13"/>
        <v>90.390790555555569</v>
      </c>
    </row>
    <row r="389" spans="1:8" x14ac:dyDescent="0.3">
      <c r="A389">
        <v>23</v>
      </c>
      <c r="B389">
        <v>51</v>
      </c>
      <c r="C389">
        <v>6.9710000000000001</v>
      </c>
      <c r="D389">
        <v>90</v>
      </c>
      <c r="E389">
        <v>24</v>
      </c>
      <c r="F389">
        <v>2.1629999999999998</v>
      </c>
      <c r="G389">
        <f t="shared" si="12"/>
        <v>23.851936388888891</v>
      </c>
      <c r="H389">
        <f t="shared" si="13"/>
        <v>90.400600833333343</v>
      </c>
    </row>
    <row r="390" spans="1:8" x14ac:dyDescent="0.3">
      <c r="A390">
        <v>23</v>
      </c>
      <c r="B390">
        <v>51</v>
      </c>
      <c r="C390">
        <v>7.5659999999999998</v>
      </c>
      <c r="D390">
        <v>90</v>
      </c>
      <c r="E390">
        <v>24</v>
      </c>
      <c r="F390">
        <v>37.481000000000002</v>
      </c>
      <c r="G390">
        <f t="shared" si="12"/>
        <v>23.85210166666667</v>
      </c>
      <c r="H390">
        <f t="shared" si="13"/>
        <v>90.410411388888889</v>
      </c>
    </row>
    <row r="391" spans="1:8" x14ac:dyDescent="0.3">
      <c r="A391">
        <v>23</v>
      </c>
      <c r="B391">
        <v>51</v>
      </c>
      <c r="C391">
        <v>8.1590000000000007</v>
      </c>
      <c r="D391">
        <v>90</v>
      </c>
      <c r="E391">
        <v>25</v>
      </c>
      <c r="F391">
        <v>12.798999999999999</v>
      </c>
      <c r="G391">
        <f t="shared" si="12"/>
        <v>23.852266388888889</v>
      </c>
      <c r="H391">
        <f t="shared" si="13"/>
        <v>90.420221944444449</v>
      </c>
    </row>
    <row r="392" spans="1:8" x14ac:dyDescent="0.3">
      <c r="A392">
        <v>23</v>
      </c>
      <c r="B392">
        <v>51</v>
      </c>
      <c r="C392">
        <v>8.75</v>
      </c>
      <c r="D392">
        <v>90</v>
      </c>
      <c r="E392">
        <v>25</v>
      </c>
      <c r="F392">
        <v>48.116999999999997</v>
      </c>
      <c r="G392">
        <f t="shared" si="12"/>
        <v>23.852430555555557</v>
      </c>
      <c r="H392">
        <f t="shared" si="13"/>
        <v>90.43003250000001</v>
      </c>
    </row>
    <row r="393" spans="1:8" x14ac:dyDescent="0.3">
      <c r="A393">
        <v>23</v>
      </c>
      <c r="B393">
        <v>51</v>
      </c>
      <c r="C393">
        <v>9.3379999999999992</v>
      </c>
      <c r="D393">
        <v>90</v>
      </c>
      <c r="E393">
        <v>26</v>
      </c>
      <c r="F393">
        <v>23.436</v>
      </c>
      <c r="G393">
        <f t="shared" si="12"/>
        <v>23.85259388888889</v>
      </c>
      <c r="H393">
        <f t="shared" si="13"/>
        <v>90.439843333333343</v>
      </c>
    </row>
    <row r="394" spans="1:8" x14ac:dyDescent="0.3">
      <c r="A394">
        <v>23</v>
      </c>
      <c r="B394">
        <v>51</v>
      </c>
      <c r="C394">
        <v>9.9239999999999995</v>
      </c>
      <c r="D394">
        <v>90</v>
      </c>
      <c r="E394">
        <v>26</v>
      </c>
      <c r="F394">
        <v>58.755000000000003</v>
      </c>
      <c r="G394">
        <f t="shared" si="12"/>
        <v>23.852756666666668</v>
      </c>
      <c r="H394">
        <f t="shared" si="13"/>
        <v>90.449654166666676</v>
      </c>
    </row>
    <row r="395" spans="1:8" x14ac:dyDescent="0.3">
      <c r="A395">
        <v>23</v>
      </c>
      <c r="B395">
        <v>51</v>
      </c>
      <c r="C395">
        <v>10.507999999999999</v>
      </c>
      <c r="D395">
        <v>90</v>
      </c>
      <c r="E395">
        <v>27</v>
      </c>
      <c r="F395">
        <v>34.073999999999998</v>
      </c>
      <c r="G395">
        <f t="shared" si="12"/>
        <v>23.85291888888889</v>
      </c>
      <c r="H395">
        <f t="shared" si="13"/>
        <v>90.459465000000009</v>
      </c>
    </row>
    <row r="396" spans="1:8" x14ac:dyDescent="0.3">
      <c r="A396">
        <v>23</v>
      </c>
      <c r="B396">
        <v>51</v>
      </c>
      <c r="C396">
        <v>11.09</v>
      </c>
      <c r="D396">
        <v>90</v>
      </c>
      <c r="E396">
        <v>28</v>
      </c>
      <c r="F396">
        <v>9.3940000000000001</v>
      </c>
      <c r="G396">
        <f t="shared" si="12"/>
        <v>23.853080555555557</v>
      </c>
      <c r="H396">
        <f t="shared" si="13"/>
        <v>90.469276111111114</v>
      </c>
    </row>
    <row r="397" spans="1:8" x14ac:dyDescent="0.3">
      <c r="A397">
        <v>23</v>
      </c>
      <c r="B397">
        <v>51</v>
      </c>
      <c r="C397">
        <v>11.669</v>
      </c>
      <c r="D397">
        <v>90</v>
      </c>
      <c r="E397">
        <v>28</v>
      </c>
      <c r="F397">
        <v>44.713999999999999</v>
      </c>
      <c r="G397">
        <f t="shared" si="12"/>
        <v>23.85324138888889</v>
      </c>
      <c r="H397">
        <f t="shared" si="13"/>
        <v>90.479087222222219</v>
      </c>
    </row>
    <row r="398" spans="1:8" x14ac:dyDescent="0.3">
      <c r="A398">
        <v>23</v>
      </c>
      <c r="B398">
        <v>51</v>
      </c>
      <c r="C398">
        <v>12.247</v>
      </c>
      <c r="D398">
        <v>90</v>
      </c>
      <c r="E398">
        <v>29</v>
      </c>
      <c r="F398">
        <v>20.033999999999999</v>
      </c>
      <c r="G398">
        <f t="shared" si="12"/>
        <v>23.853401944444446</v>
      </c>
      <c r="H398">
        <f t="shared" si="13"/>
        <v>90.488898333333339</v>
      </c>
    </row>
    <row r="399" spans="1:8" x14ac:dyDescent="0.3">
      <c r="A399">
        <v>23</v>
      </c>
      <c r="B399">
        <v>51</v>
      </c>
      <c r="C399">
        <v>12.821999999999999</v>
      </c>
      <c r="D399">
        <v>90</v>
      </c>
      <c r="E399">
        <v>29</v>
      </c>
      <c r="F399">
        <v>55.353999999999999</v>
      </c>
      <c r="G399">
        <f t="shared" si="12"/>
        <v>23.853561666666668</v>
      </c>
      <c r="H399">
        <f t="shared" si="13"/>
        <v>90.498709444444444</v>
      </c>
    </row>
    <row r="400" spans="1:8" x14ac:dyDescent="0.3">
      <c r="A400">
        <v>23</v>
      </c>
      <c r="B400">
        <v>51</v>
      </c>
      <c r="C400">
        <v>13.395</v>
      </c>
      <c r="D400">
        <v>90</v>
      </c>
      <c r="E400">
        <v>30</v>
      </c>
      <c r="F400">
        <v>30.675000000000001</v>
      </c>
      <c r="G400">
        <f t="shared" si="12"/>
        <v>23.853720833333334</v>
      </c>
      <c r="H400">
        <f t="shared" si="13"/>
        <v>90.508520833333336</v>
      </c>
    </row>
    <row r="401" spans="1:8" x14ac:dyDescent="0.3">
      <c r="A401">
        <v>23</v>
      </c>
      <c r="B401">
        <v>51</v>
      </c>
      <c r="C401">
        <v>35.222999999999999</v>
      </c>
      <c r="D401">
        <v>90</v>
      </c>
      <c r="E401">
        <v>19</v>
      </c>
      <c r="F401">
        <v>54.283000000000001</v>
      </c>
      <c r="G401">
        <f t="shared" si="12"/>
        <v>23.859784166666667</v>
      </c>
      <c r="H401">
        <f t="shared" si="13"/>
        <v>90.33174527777777</v>
      </c>
    </row>
    <row r="402" spans="1:8" x14ac:dyDescent="0.3">
      <c r="A402">
        <v>23</v>
      </c>
      <c r="B402">
        <v>51</v>
      </c>
      <c r="C402">
        <v>35.834000000000003</v>
      </c>
      <c r="D402">
        <v>90</v>
      </c>
      <c r="E402">
        <v>20</v>
      </c>
      <c r="F402">
        <v>29.600999999999999</v>
      </c>
      <c r="G402">
        <f t="shared" si="12"/>
        <v>23.859953888888889</v>
      </c>
      <c r="H402">
        <f t="shared" si="13"/>
        <v>90.341555833333331</v>
      </c>
    </row>
    <row r="403" spans="1:8" x14ac:dyDescent="0.3">
      <c r="A403">
        <v>23</v>
      </c>
      <c r="B403">
        <v>51</v>
      </c>
      <c r="C403">
        <v>36.442999999999998</v>
      </c>
      <c r="D403">
        <v>90</v>
      </c>
      <c r="E403">
        <v>21</v>
      </c>
      <c r="F403">
        <v>4.9189999999999996</v>
      </c>
      <c r="G403">
        <f t="shared" si="12"/>
        <v>23.860123055555558</v>
      </c>
      <c r="H403">
        <f t="shared" si="13"/>
        <v>90.351366388888877</v>
      </c>
    </row>
    <row r="404" spans="1:8" x14ac:dyDescent="0.3">
      <c r="A404">
        <v>23</v>
      </c>
      <c r="B404">
        <v>51</v>
      </c>
      <c r="C404">
        <v>37.048999999999999</v>
      </c>
      <c r="D404">
        <v>90</v>
      </c>
      <c r="E404">
        <v>21</v>
      </c>
      <c r="F404">
        <v>40.238</v>
      </c>
      <c r="G404">
        <f t="shared" si="12"/>
        <v>23.860291388888889</v>
      </c>
      <c r="H404">
        <f t="shared" si="13"/>
        <v>90.36117722222221</v>
      </c>
    </row>
    <row r="405" spans="1:8" x14ac:dyDescent="0.3">
      <c r="A405">
        <v>23</v>
      </c>
      <c r="B405">
        <v>51</v>
      </c>
      <c r="C405">
        <v>37.654000000000003</v>
      </c>
      <c r="D405">
        <v>90</v>
      </c>
      <c r="E405">
        <v>22</v>
      </c>
      <c r="F405">
        <v>15.557</v>
      </c>
      <c r="G405">
        <f t="shared" si="12"/>
        <v>23.860459444444444</v>
      </c>
      <c r="H405">
        <f t="shared" si="13"/>
        <v>90.370988055555543</v>
      </c>
    </row>
    <row r="406" spans="1:8" x14ac:dyDescent="0.3">
      <c r="A406">
        <v>23</v>
      </c>
      <c r="B406">
        <v>51</v>
      </c>
      <c r="C406">
        <v>38.256</v>
      </c>
      <c r="D406">
        <v>90</v>
      </c>
      <c r="E406">
        <v>22</v>
      </c>
      <c r="F406">
        <v>50.875999999999998</v>
      </c>
      <c r="G406">
        <f t="shared" si="12"/>
        <v>23.860626666666668</v>
      </c>
      <c r="H406">
        <f t="shared" si="13"/>
        <v>90.380798888888876</v>
      </c>
    </row>
    <row r="407" spans="1:8" x14ac:dyDescent="0.3">
      <c r="A407">
        <v>23</v>
      </c>
      <c r="B407">
        <v>51</v>
      </c>
      <c r="C407">
        <v>38.856000000000002</v>
      </c>
      <c r="D407">
        <v>90</v>
      </c>
      <c r="E407">
        <v>23</v>
      </c>
      <c r="F407">
        <v>26.195</v>
      </c>
      <c r="G407">
        <f t="shared" si="12"/>
        <v>23.860793333333334</v>
      </c>
      <c r="H407">
        <f t="shared" si="13"/>
        <v>90.390609722222223</v>
      </c>
    </row>
    <row r="408" spans="1:8" x14ac:dyDescent="0.3">
      <c r="A408">
        <v>23</v>
      </c>
      <c r="B408">
        <v>51</v>
      </c>
      <c r="C408">
        <v>39.454000000000001</v>
      </c>
      <c r="D408">
        <v>90</v>
      </c>
      <c r="E408">
        <v>24</v>
      </c>
      <c r="F408">
        <v>1.5149999999999999</v>
      </c>
      <c r="G408">
        <f t="shared" si="12"/>
        <v>23.860959444444447</v>
      </c>
      <c r="H408">
        <f t="shared" si="13"/>
        <v>90.400420833333342</v>
      </c>
    </row>
    <row r="409" spans="1:8" x14ac:dyDescent="0.3">
      <c r="A409">
        <v>23</v>
      </c>
      <c r="B409">
        <v>51</v>
      </c>
      <c r="C409">
        <v>40.048999999999999</v>
      </c>
      <c r="D409">
        <v>90</v>
      </c>
      <c r="E409">
        <v>24</v>
      </c>
      <c r="F409">
        <v>36.835000000000001</v>
      </c>
      <c r="G409">
        <f t="shared" si="12"/>
        <v>23.861124722222225</v>
      </c>
      <c r="H409">
        <f t="shared" si="13"/>
        <v>90.410231944444448</v>
      </c>
    </row>
    <row r="410" spans="1:8" x14ac:dyDescent="0.3">
      <c r="A410">
        <v>23</v>
      </c>
      <c r="B410">
        <v>51</v>
      </c>
      <c r="C410">
        <v>40.643000000000001</v>
      </c>
      <c r="D410">
        <v>90</v>
      </c>
      <c r="E410">
        <v>25</v>
      </c>
      <c r="F410">
        <v>12.154999999999999</v>
      </c>
      <c r="G410">
        <f t="shared" si="12"/>
        <v>23.861289722222224</v>
      </c>
      <c r="H410">
        <f t="shared" si="13"/>
        <v>90.420043055555567</v>
      </c>
    </row>
    <row r="411" spans="1:8" x14ac:dyDescent="0.3">
      <c r="A411">
        <v>23</v>
      </c>
      <c r="B411">
        <v>51</v>
      </c>
      <c r="C411">
        <v>41.234000000000002</v>
      </c>
      <c r="D411">
        <v>90</v>
      </c>
      <c r="E411">
        <v>25</v>
      </c>
      <c r="F411">
        <v>47.475999999999999</v>
      </c>
      <c r="G411">
        <f t="shared" si="12"/>
        <v>23.861453888888889</v>
      </c>
      <c r="H411">
        <f t="shared" si="13"/>
        <v>90.429854444444445</v>
      </c>
    </row>
    <row r="412" spans="1:8" x14ac:dyDescent="0.3">
      <c r="A412">
        <v>23</v>
      </c>
      <c r="B412">
        <v>51</v>
      </c>
      <c r="C412">
        <v>41.822000000000003</v>
      </c>
      <c r="D412">
        <v>90</v>
      </c>
      <c r="E412">
        <v>26</v>
      </c>
      <c r="F412">
        <v>22.797000000000001</v>
      </c>
      <c r="G412">
        <f t="shared" si="12"/>
        <v>23.861617222222225</v>
      </c>
      <c r="H412">
        <f t="shared" si="13"/>
        <v>90.439665833333336</v>
      </c>
    </row>
    <row r="413" spans="1:8" x14ac:dyDescent="0.3">
      <c r="A413">
        <v>23</v>
      </c>
      <c r="B413">
        <v>51</v>
      </c>
      <c r="C413">
        <v>42.408999999999999</v>
      </c>
      <c r="D413">
        <v>90</v>
      </c>
      <c r="E413">
        <v>26</v>
      </c>
      <c r="F413">
        <v>58.119</v>
      </c>
      <c r="G413">
        <f t="shared" si="12"/>
        <v>23.861780277777779</v>
      </c>
      <c r="H413">
        <f t="shared" si="13"/>
        <v>90.4494775</v>
      </c>
    </row>
    <row r="414" spans="1:8" x14ac:dyDescent="0.3">
      <c r="A414">
        <v>23</v>
      </c>
      <c r="B414">
        <v>51</v>
      </c>
      <c r="C414">
        <v>42.993000000000002</v>
      </c>
      <c r="D414">
        <v>90</v>
      </c>
      <c r="E414">
        <v>27</v>
      </c>
      <c r="F414">
        <v>33.44</v>
      </c>
      <c r="G414">
        <f t="shared" si="12"/>
        <v>23.861942500000001</v>
      </c>
      <c r="H414">
        <f t="shared" si="13"/>
        <v>90.459288888888892</v>
      </c>
    </row>
    <row r="415" spans="1:8" x14ac:dyDescent="0.3">
      <c r="A415">
        <v>23</v>
      </c>
      <c r="B415">
        <v>51</v>
      </c>
      <c r="C415">
        <v>43.575000000000003</v>
      </c>
      <c r="D415">
        <v>90</v>
      </c>
      <c r="E415">
        <v>28</v>
      </c>
      <c r="F415">
        <v>8.7620000000000005</v>
      </c>
      <c r="G415">
        <f t="shared" si="12"/>
        <v>23.862104166666668</v>
      </c>
      <c r="H415">
        <f t="shared" si="13"/>
        <v>90.469100555555556</v>
      </c>
    </row>
    <row r="416" spans="1:8" x14ac:dyDescent="0.3">
      <c r="A416">
        <v>23</v>
      </c>
      <c r="B416">
        <v>51</v>
      </c>
      <c r="C416">
        <v>44.155000000000001</v>
      </c>
      <c r="D416">
        <v>90</v>
      </c>
      <c r="E416">
        <v>28</v>
      </c>
      <c r="F416">
        <v>44.085000000000001</v>
      </c>
      <c r="G416">
        <f t="shared" si="12"/>
        <v>23.86226527777778</v>
      </c>
      <c r="H416">
        <f t="shared" si="13"/>
        <v>90.478912500000007</v>
      </c>
    </row>
    <row r="417" spans="1:8" x14ac:dyDescent="0.3">
      <c r="A417">
        <v>23</v>
      </c>
      <c r="B417">
        <v>51</v>
      </c>
      <c r="C417">
        <v>44.731999999999999</v>
      </c>
      <c r="D417">
        <v>90</v>
      </c>
      <c r="E417">
        <v>29</v>
      </c>
      <c r="F417">
        <v>19.407</v>
      </c>
      <c r="G417">
        <f t="shared" si="12"/>
        <v>23.862425555555557</v>
      </c>
      <c r="H417">
        <f t="shared" si="13"/>
        <v>90.488724166666671</v>
      </c>
    </row>
    <row r="418" spans="1:8" x14ac:dyDescent="0.3">
      <c r="A418">
        <v>23</v>
      </c>
      <c r="B418">
        <v>51</v>
      </c>
      <c r="C418">
        <v>45.307000000000002</v>
      </c>
      <c r="D418">
        <v>90</v>
      </c>
      <c r="E418">
        <v>29</v>
      </c>
      <c r="F418">
        <v>54.73</v>
      </c>
      <c r="G418">
        <f t="shared" si="12"/>
        <v>23.862585277777779</v>
      </c>
      <c r="H418">
        <f t="shared" si="13"/>
        <v>90.498536111111108</v>
      </c>
    </row>
    <row r="419" spans="1:8" x14ac:dyDescent="0.3">
      <c r="A419">
        <v>23</v>
      </c>
      <c r="B419">
        <v>51</v>
      </c>
      <c r="C419">
        <v>45.88</v>
      </c>
      <c r="D419">
        <v>90</v>
      </c>
      <c r="E419">
        <v>30</v>
      </c>
      <c r="F419">
        <v>30.053000000000001</v>
      </c>
      <c r="G419">
        <f t="shared" si="12"/>
        <v>23.862744444444445</v>
      </c>
      <c r="H419">
        <f t="shared" si="13"/>
        <v>90.508348055555558</v>
      </c>
    </row>
    <row r="420" spans="1:8" x14ac:dyDescent="0.3">
      <c r="A420">
        <v>23</v>
      </c>
      <c r="B420">
        <v>52</v>
      </c>
      <c r="C420">
        <v>7.7039999999999997</v>
      </c>
      <c r="D420">
        <v>90</v>
      </c>
      <c r="E420">
        <v>19</v>
      </c>
      <c r="F420">
        <v>53.616999999999997</v>
      </c>
      <c r="G420">
        <f t="shared" si="12"/>
        <v>23.868806666666668</v>
      </c>
      <c r="H420">
        <f t="shared" si="13"/>
        <v>90.331560277777768</v>
      </c>
    </row>
    <row r="421" spans="1:8" x14ac:dyDescent="0.3">
      <c r="A421">
        <v>23</v>
      </c>
      <c r="B421">
        <v>52</v>
      </c>
      <c r="C421">
        <v>8.3149999999999995</v>
      </c>
      <c r="D421">
        <v>90</v>
      </c>
      <c r="E421">
        <v>20</v>
      </c>
      <c r="F421">
        <v>28.937999999999999</v>
      </c>
      <c r="G421">
        <f t="shared" si="12"/>
        <v>23.868976388888889</v>
      </c>
      <c r="H421">
        <f t="shared" si="13"/>
        <v>90.34137166666666</v>
      </c>
    </row>
    <row r="422" spans="1:8" x14ac:dyDescent="0.3">
      <c r="A422">
        <v>23</v>
      </c>
      <c r="B422">
        <v>52</v>
      </c>
      <c r="C422">
        <v>8.9250000000000007</v>
      </c>
      <c r="D422">
        <v>90</v>
      </c>
      <c r="E422">
        <v>21</v>
      </c>
      <c r="F422">
        <v>4.258</v>
      </c>
      <c r="G422">
        <f t="shared" si="12"/>
        <v>23.869145833333334</v>
      </c>
      <c r="H422">
        <f t="shared" si="13"/>
        <v>90.351182777777765</v>
      </c>
    </row>
    <row r="423" spans="1:8" x14ac:dyDescent="0.3">
      <c r="A423">
        <v>23</v>
      </c>
      <c r="B423">
        <v>52</v>
      </c>
      <c r="C423">
        <v>9.532</v>
      </c>
      <c r="D423">
        <v>90</v>
      </c>
      <c r="E423">
        <v>21</v>
      </c>
      <c r="F423">
        <v>39.579000000000001</v>
      </c>
      <c r="G423">
        <f t="shared" si="12"/>
        <v>23.869314444444445</v>
      </c>
      <c r="H423">
        <f t="shared" si="13"/>
        <v>90.360994166666657</v>
      </c>
    </row>
    <row r="424" spans="1:8" x14ac:dyDescent="0.3">
      <c r="A424">
        <v>23</v>
      </c>
      <c r="B424">
        <v>52</v>
      </c>
      <c r="C424">
        <v>10.135999999999999</v>
      </c>
      <c r="D424">
        <v>90</v>
      </c>
      <c r="E424">
        <v>22</v>
      </c>
      <c r="F424">
        <v>14.9</v>
      </c>
      <c r="G424">
        <f t="shared" si="12"/>
        <v>23.869482222222224</v>
      </c>
      <c r="H424">
        <f t="shared" si="13"/>
        <v>90.370805555555549</v>
      </c>
    </row>
    <row r="425" spans="1:8" x14ac:dyDescent="0.3">
      <c r="A425">
        <v>23</v>
      </c>
      <c r="B425">
        <v>52</v>
      </c>
      <c r="C425">
        <v>10.739000000000001</v>
      </c>
      <c r="D425">
        <v>90</v>
      </c>
      <c r="E425">
        <v>22</v>
      </c>
      <c r="F425">
        <v>50.222000000000001</v>
      </c>
      <c r="G425">
        <f t="shared" si="12"/>
        <v>23.869649722222224</v>
      </c>
      <c r="H425">
        <f t="shared" si="13"/>
        <v>90.380617222222213</v>
      </c>
    </row>
    <row r="426" spans="1:8" x14ac:dyDescent="0.3">
      <c r="A426">
        <v>23</v>
      </c>
      <c r="B426">
        <v>52</v>
      </c>
      <c r="C426">
        <v>11.339</v>
      </c>
      <c r="D426">
        <v>90</v>
      </c>
      <c r="E426">
        <v>23</v>
      </c>
      <c r="F426">
        <v>25.544</v>
      </c>
      <c r="G426">
        <f t="shared" si="12"/>
        <v>23.869816388888889</v>
      </c>
      <c r="H426">
        <f t="shared" si="13"/>
        <v>90.390428888888891</v>
      </c>
    </row>
    <row r="427" spans="1:8" x14ac:dyDescent="0.3">
      <c r="A427">
        <v>23</v>
      </c>
      <c r="B427">
        <v>52</v>
      </c>
      <c r="C427">
        <v>11.936999999999999</v>
      </c>
      <c r="D427">
        <v>90</v>
      </c>
      <c r="E427">
        <v>24</v>
      </c>
      <c r="F427">
        <v>0.86599999999999999</v>
      </c>
      <c r="G427">
        <f t="shared" si="12"/>
        <v>23.869982499999999</v>
      </c>
      <c r="H427">
        <f t="shared" si="13"/>
        <v>90.400240555555555</v>
      </c>
    </row>
    <row r="428" spans="1:8" x14ac:dyDescent="0.3">
      <c r="A428">
        <v>23</v>
      </c>
      <c r="B428">
        <v>52</v>
      </c>
      <c r="C428">
        <v>12.532999999999999</v>
      </c>
      <c r="D428">
        <v>90</v>
      </c>
      <c r="E428">
        <v>24</v>
      </c>
      <c r="F428">
        <v>36.189</v>
      </c>
      <c r="G428">
        <f t="shared" si="12"/>
        <v>23.870148055555557</v>
      </c>
      <c r="H428">
        <f t="shared" si="13"/>
        <v>90.410052500000006</v>
      </c>
    </row>
    <row r="429" spans="1:8" x14ac:dyDescent="0.3">
      <c r="A429">
        <v>23</v>
      </c>
      <c r="B429">
        <v>52</v>
      </c>
      <c r="C429">
        <v>13.125999999999999</v>
      </c>
      <c r="D429">
        <v>90</v>
      </c>
      <c r="E429">
        <v>25</v>
      </c>
      <c r="F429">
        <v>11.510999999999999</v>
      </c>
      <c r="G429">
        <f t="shared" si="12"/>
        <v>23.870312777777777</v>
      </c>
      <c r="H429">
        <f t="shared" si="13"/>
        <v>90.41986416666667</v>
      </c>
    </row>
    <row r="430" spans="1:8" x14ac:dyDescent="0.3">
      <c r="A430">
        <v>23</v>
      </c>
      <c r="B430">
        <v>52</v>
      </c>
      <c r="C430">
        <v>13.717000000000001</v>
      </c>
      <c r="D430">
        <v>90</v>
      </c>
      <c r="E430">
        <v>25</v>
      </c>
      <c r="F430">
        <v>46.835000000000001</v>
      </c>
      <c r="G430">
        <f t="shared" si="12"/>
        <v>23.870476944444444</v>
      </c>
      <c r="H430">
        <f t="shared" si="13"/>
        <v>90.429676388888893</v>
      </c>
    </row>
    <row r="431" spans="1:8" x14ac:dyDescent="0.3">
      <c r="A431">
        <v>23</v>
      </c>
      <c r="B431">
        <v>52</v>
      </c>
      <c r="C431">
        <v>14.305999999999999</v>
      </c>
      <c r="D431">
        <v>90</v>
      </c>
      <c r="E431">
        <v>26</v>
      </c>
      <c r="F431">
        <v>22.158000000000001</v>
      </c>
      <c r="G431">
        <f t="shared" si="12"/>
        <v>23.870640555555557</v>
      </c>
      <c r="H431">
        <f t="shared" si="13"/>
        <v>90.439488333333344</v>
      </c>
    </row>
    <row r="432" spans="1:8" x14ac:dyDescent="0.3">
      <c r="A432">
        <v>23</v>
      </c>
      <c r="B432">
        <v>52</v>
      </c>
      <c r="C432">
        <v>14.893000000000001</v>
      </c>
      <c r="D432">
        <v>90</v>
      </c>
      <c r="E432">
        <v>26</v>
      </c>
      <c r="F432">
        <v>57.481999999999999</v>
      </c>
      <c r="G432">
        <f t="shared" si="12"/>
        <v>23.870803611111111</v>
      </c>
      <c r="H432">
        <f t="shared" si="13"/>
        <v>90.449300555555553</v>
      </c>
    </row>
    <row r="433" spans="1:8" x14ac:dyDescent="0.3">
      <c r="A433">
        <v>23</v>
      </c>
      <c r="B433">
        <v>52</v>
      </c>
      <c r="C433">
        <v>15.478</v>
      </c>
      <c r="D433">
        <v>90</v>
      </c>
      <c r="E433">
        <v>27</v>
      </c>
      <c r="F433">
        <v>32.805999999999997</v>
      </c>
      <c r="G433">
        <f t="shared" si="12"/>
        <v>23.870966111111112</v>
      </c>
      <c r="H433">
        <f t="shared" si="13"/>
        <v>90.459112777777776</v>
      </c>
    </row>
    <row r="434" spans="1:8" x14ac:dyDescent="0.3">
      <c r="A434">
        <v>23</v>
      </c>
      <c r="B434">
        <v>52</v>
      </c>
      <c r="C434">
        <v>16.059999999999999</v>
      </c>
      <c r="D434">
        <v>90</v>
      </c>
      <c r="E434">
        <v>28</v>
      </c>
      <c r="F434">
        <v>8.1310000000000002</v>
      </c>
      <c r="G434">
        <f t="shared" si="12"/>
        <v>23.871127777777779</v>
      </c>
      <c r="H434">
        <f t="shared" si="13"/>
        <v>90.468925277777785</v>
      </c>
    </row>
    <row r="435" spans="1:8" x14ac:dyDescent="0.3">
      <c r="A435">
        <v>23</v>
      </c>
      <c r="B435">
        <v>52</v>
      </c>
      <c r="C435">
        <v>16.64</v>
      </c>
      <c r="D435">
        <v>90</v>
      </c>
      <c r="E435">
        <v>28</v>
      </c>
      <c r="F435">
        <v>43.454999999999998</v>
      </c>
      <c r="G435">
        <f t="shared" si="12"/>
        <v>23.871288888888888</v>
      </c>
      <c r="H435">
        <f t="shared" si="13"/>
        <v>90.478737500000008</v>
      </c>
    </row>
    <row r="436" spans="1:8" x14ac:dyDescent="0.3">
      <c r="A436">
        <v>23</v>
      </c>
      <c r="B436">
        <v>52</v>
      </c>
      <c r="C436">
        <v>17.218</v>
      </c>
      <c r="D436">
        <v>90</v>
      </c>
      <c r="E436">
        <v>29</v>
      </c>
      <c r="F436">
        <v>18.78</v>
      </c>
      <c r="G436">
        <f t="shared" si="12"/>
        <v>23.871449444444444</v>
      </c>
      <c r="H436">
        <f t="shared" si="13"/>
        <v>90.488550000000004</v>
      </c>
    </row>
    <row r="437" spans="1:8" x14ac:dyDescent="0.3">
      <c r="A437">
        <v>23</v>
      </c>
      <c r="B437">
        <v>52</v>
      </c>
      <c r="C437">
        <v>17.792999999999999</v>
      </c>
      <c r="D437">
        <v>90</v>
      </c>
      <c r="E437">
        <v>29</v>
      </c>
      <c r="F437">
        <v>54.106000000000002</v>
      </c>
      <c r="G437">
        <f t="shared" si="12"/>
        <v>23.871609166666666</v>
      </c>
      <c r="H437">
        <f t="shared" si="13"/>
        <v>90.498362777777785</v>
      </c>
    </row>
    <row r="438" spans="1:8" x14ac:dyDescent="0.3">
      <c r="A438">
        <v>23</v>
      </c>
      <c r="B438">
        <v>52</v>
      </c>
      <c r="C438">
        <v>18.366</v>
      </c>
      <c r="D438">
        <v>90</v>
      </c>
      <c r="E438">
        <v>30</v>
      </c>
      <c r="F438">
        <v>29.431000000000001</v>
      </c>
      <c r="G438">
        <f t="shared" si="12"/>
        <v>23.871768333333335</v>
      </c>
      <c r="H438">
        <f t="shared" si="13"/>
        <v>90.508175277777781</v>
      </c>
    </row>
    <row r="439" spans="1:8" x14ac:dyDescent="0.3">
      <c r="A439">
        <v>23</v>
      </c>
      <c r="B439">
        <v>52</v>
      </c>
      <c r="C439">
        <v>40.185000000000002</v>
      </c>
      <c r="D439">
        <v>90</v>
      </c>
      <c r="E439">
        <v>19</v>
      </c>
      <c r="F439">
        <v>52.951000000000001</v>
      </c>
      <c r="G439">
        <f t="shared" si="12"/>
        <v>23.877829166666668</v>
      </c>
      <c r="H439">
        <f t="shared" si="13"/>
        <v>90.331375277777781</v>
      </c>
    </row>
    <row r="440" spans="1:8" x14ac:dyDescent="0.3">
      <c r="A440">
        <v>23</v>
      </c>
      <c r="B440">
        <v>52</v>
      </c>
      <c r="C440">
        <v>40.796999999999997</v>
      </c>
      <c r="D440">
        <v>90</v>
      </c>
      <c r="E440">
        <v>20</v>
      </c>
      <c r="F440">
        <v>28.274000000000001</v>
      </c>
      <c r="G440">
        <f t="shared" si="12"/>
        <v>23.877999166666669</v>
      </c>
      <c r="H440">
        <f t="shared" si="13"/>
        <v>90.341187222222217</v>
      </c>
    </row>
    <row r="441" spans="1:8" x14ac:dyDescent="0.3">
      <c r="A441">
        <v>23</v>
      </c>
      <c r="B441">
        <v>52</v>
      </c>
      <c r="C441">
        <v>41.406999999999996</v>
      </c>
      <c r="D441">
        <v>90</v>
      </c>
      <c r="E441">
        <v>21</v>
      </c>
      <c r="F441">
        <v>3.597</v>
      </c>
      <c r="G441">
        <f t="shared" si="12"/>
        <v>23.878168611111111</v>
      </c>
      <c r="H441">
        <f t="shared" si="13"/>
        <v>90.350999166666668</v>
      </c>
    </row>
    <row r="442" spans="1:8" x14ac:dyDescent="0.3">
      <c r="A442">
        <v>23</v>
      </c>
      <c r="B442">
        <v>52</v>
      </c>
      <c r="C442">
        <v>42.014000000000003</v>
      </c>
      <c r="D442">
        <v>90</v>
      </c>
      <c r="E442">
        <v>21</v>
      </c>
      <c r="F442">
        <v>38.92</v>
      </c>
      <c r="G442">
        <f t="shared" si="12"/>
        <v>23.878337222222221</v>
      </c>
      <c r="H442">
        <f t="shared" si="13"/>
        <v>90.360811111111104</v>
      </c>
    </row>
    <row r="443" spans="1:8" x14ac:dyDescent="0.3">
      <c r="A443">
        <v>23</v>
      </c>
      <c r="B443">
        <v>52</v>
      </c>
      <c r="C443">
        <v>42.619</v>
      </c>
      <c r="D443">
        <v>90</v>
      </c>
      <c r="E443">
        <v>22</v>
      </c>
      <c r="F443">
        <v>14.244</v>
      </c>
      <c r="G443">
        <f t="shared" si="12"/>
        <v>23.87850527777778</v>
      </c>
      <c r="H443">
        <f t="shared" si="13"/>
        <v>90.370623333333327</v>
      </c>
    </row>
    <row r="444" spans="1:8" x14ac:dyDescent="0.3">
      <c r="A444">
        <v>23</v>
      </c>
      <c r="B444">
        <v>52</v>
      </c>
      <c r="C444">
        <v>43.220999999999997</v>
      </c>
      <c r="D444">
        <v>90</v>
      </c>
      <c r="E444">
        <v>22</v>
      </c>
      <c r="F444">
        <v>49.567999999999998</v>
      </c>
      <c r="G444">
        <f t="shared" si="12"/>
        <v>23.8786725</v>
      </c>
      <c r="H444">
        <f t="shared" si="13"/>
        <v>90.38043555555555</v>
      </c>
    </row>
    <row r="445" spans="1:8" x14ac:dyDescent="0.3">
      <c r="A445">
        <v>23</v>
      </c>
      <c r="B445">
        <v>52</v>
      </c>
      <c r="C445">
        <v>43.822000000000003</v>
      </c>
      <c r="D445">
        <v>90</v>
      </c>
      <c r="E445">
        <v>23</v>
      </c>
      <c r="F445">
        <v>24.891999999999999</v>
      </c>
      <c r="G445">
        <f t="shared" si="12"/>
        <v>23.878839444444445</v>
      </c>
      <c r="H445">
        <f t="shared" si="13"/>
        <v>90.390247777777788</v>
      </c>
    </row>
    <row r="446" spans="1:8" x14ac:dyDescent="0.3">
      <c r="A446">
        <v>23</v>
      </c>
      <c r="B446">
        <v>52</v>
      </c>
      <c r="C446">
        <v>44.42</v>
      </c>
      <c r="D446">
        <v>90</v>
      </c>
      <c r="E446">
        <v>24</v>
      </c>
      <c r="F446">
        <v>0.217</v>
      </c>
      <c r="G446">
        <f t="shared" si="12"/>
        <v>23.879005555555555</v>
      </c>
      <c r="H446">
        <f t="shared" si="13"/>
        <v>90.400060277777783</v>
      </c>
    </row>
    <row r="447" spans="1:8" x14ac:dyDescent="0.3">
      <c r="A447">
        <v>23</v>
      </c>
      <c r="B447">
        <v>52</v>
      </c>
      <c r="C447">
        <v>45.015999999999998</v>
      </c>
      <c r="D447">
        <v>90</v>
      </c>
      <c r="E447">
        <v>24</v>
      </c>
      <c r="F447">
        <v>35.542000000000002</v>
      </c>
      <c r="G447">
        <f t="shared" si="12"/>
        <v>23.879171111111113</v>
      </c>
      <c r="H447">
        <f t="shared" si="13"/>
        <v>90.409872777777778</v>
      </c>
    </row>
    <row r="448" spans="1:8" x14ac:dyDescent="0.3">
      <c r="A448">
        <v>23</v>
      </c>
      <c r="B448">
        <v>52</v>
      </c>
      <c r="C448">
        <v>45.61</v>
      </c>
      <c r="D448">
        <v>90</v>
      </c>
      <c r="E448">
        <v>25</v>
      </c>
      <c r="F448">
        <v>10.867000000000001</v>
      </c>
      <c r="G448">
        <f t="shared" si="12"/>
        <v>23.879336111111112</v>
      </c>
      <c r="H448">
        <f t="shared" si="13"/>
        <v>90.419685277777788</v>
      </c>
    </row>
    <row r="449" spans="1:8" x14ac:dyDescent="0.3">
      <c r="A449">
        <v>23</v>
      </c>
      <c r="B449">
        <v>52</v>
      </c>
      <c r="C449">
        <v>46.201000000000001</v>
      </c>
      <c r="D449">
        <v>90</v>
      </c>
      <c r="E449">
        <v>25</v>
      </c>
      <c r="F449">
        <v>46.192999999999998</v>
      </c>
      <c r="G449">
        <f t="shared" si="12"/>
        <v>23.87950027777778</v>
      </c>
      <c r="H449">
        <f t="shared" si="13"/>
        <v>90.429498055555555</v>
      </c>
    </row>
    <row r="450" spans="1:8" x14ac:dyDescent="0.3">
      <c r="A450">
        <v>23</v>
      </c>
      <c r="B450">
        <v>52</v>
      </c>
      <c r="C450">
        <v>46.790999999999997</v>
      </c>
      <c r="D450">
        <v>90</v>
      </c>
      <c r="E450">
        <v>26</v>
      </c>
      <c r="F450">
        <v>21.518999999999998</v>
      </c>
      <c r="G450">
        <f t="shared" si="12"/>
        <v>23.879664166666668</v>
      </c>
      <c r="H450">
        <f t="shared" si="13"/>
        <v>90.439310833333337</v>
      </c>
    </row>
    <row r="451" spans="1:8" x14ac:dyDescent="0.3">
      <c r="A451">
        <v>23</v>
      </c>
      <c r="B451">
        <v>52</v>
      </c>
      <c r="C451">
        <v>47.378</v>
      </c>
      <c r="D451">
        <v>90</v>
      </c>
      <c r="E451">
        <v>26</v>
      </c>
      <c r="F451">
        <v>56.844999999999999</v>
      </c>
      <c r="G451">
        <f t="shared" ref="G451:G495" si="14">DecimalDegreesConverter(A451,B451,C451)</f>
        <v>23.879827222222222</v>
      </c>
      <c r="H451">
        <f t="shared" ref="H451:H495" si="15">DecimalDegreesConverter(D451,E451,F451)</f>
        <v>90.449123611111119</v>
      </c>
    </row>
    <row r="452" spans="1:8" x14ac:dyDescent="0.3">
      <c r="A452">
        <v>23</v>
      </c>
      <c r="B452">
        <v>52</v>
      </c>
      <c r="C452">
        <v>47.962000000000003</v>
      </c>
      <c r="D452">
        <v>90</v>
      </c>
      <c r="E452">
        <v>27</v>
      </c>
      <c r="F452">
        <v>32.171999999999997</v>
      </c>
      <c r="G452">
        <f t="shared" si="14"/>
        <v>23.879989444444444</v>
      </c>
      <c r="H452">
        <f t="shared" si="15"/>
        <v>90.458936666666673</v>
      </c>
    </row>
    <row r="453" spans="1:8" x14ac:dyDescent="0.3">
      <c r="A453">
        <v>23</v>
      </c>
      <c r="B453">
        <v>52</v>
      </c>
      <c r="C453">
        <v>48.545000000000002</v>
      </c>
      <c r="D453">
        <v>90</v>
      </c>
      <c r="E453">
        <v>28</v>
      </c>
      <c r="F453">
        <v>7.4980000000000002</v>
      </c>
      <c r="G453">
        <f t="shared" si="14"/>
        <v>23.880151388888891</v>
      </c>
      <c r="H453">
        <f t="shared" si="15"/>
        <v>90.468749444444441</v>
      </c>
    </row>
    <row r="454" spans="1:8" x14ac:dyDescent="0.3">
      <c r="A454">
        <v>23</v>
      </c>
      <c r="B454">
        <v>52</v>
      </c>
      <c r="C454">
        <v>49.125</v>
      </c>
      <c r="D454">
        <v>90</v>
      </c>
      <c r="E454">
        <v>28</v>
      </c>
      <c r="F454">
        <v>42.826000000000001</v>
      </c>
      <c r="G454">
        <f t="shared" si="14"/>
        <v>23.880312499999999</v>
      </c>
      <c r="H454">
        <f t="shared" si="15"/>
        <v>90.478562777777782</v>
      </c>
    </row>
    <row r="455" spans="1:8" x14ac:dyDescent="0.3">
      <c r="A455">
        <v>23</v>
      </c>
      <c r="B455">
        <v>52</v>
      </c>
      <c r="C455">
        <v>49.703000000000003</v>
      </c>
      <c r="D455">
        <v>90</v>
      </c>
      <c r="E455">
        <v>29</v>
      </c>
      <c r="F455">
        <v>18.152999999999999</v>
      </c>
      <c r="G455">
        <f t="shared" si="14"/>
        <v>23.880473055555555</v>
      </c>
      <c r="H455">
        <f t="shared" si="15"/>
        <v>90.488375833333336</v>
      </c>
    </row>
    <row r="456" spans="1:8" x14ac:dyDescent="0.3">
      <c r="A456">
        <v>23</v>
      </c>
      <c r="B456">
        <v>52</v>
      </c>
      <c r="C456">
        <v>50.279000000000003</v>
      </c>
      <c r="D456">
        <v>90</v>
      </c>
      <c r="E456">
        <v>29</v>
      </c>
      <c r="F456">
        <v>53.481000000000002</v>
      </c>
      <c r="G456">
        <f t="shared" si="14"/>
        <v>23.880633055555556</v>
      </c>
      <c r="H456">
        <f t="shared" si="15"/>
        <v>90.498189166666663</v>
      </c>
    </row>
    <row r="457" spans="1:8" x14ac:dyDescent="0.3">
      <c r="A457">
        <v>23</v>
      </c>
      <c r="B457">
        <v>52</v>
      </c>
      <c r="C457">
        <v>50.851999999999997</v>
      </c>
      <c r="D457">
        <v>90</v>
      </c>
      <c r="E457">
        <v>30</v>
      </c>
      <c r="F457">
        <v>28.809000000000001</v>
      </c>
      <c r="G457">
        <f t="shared" si="14"/>
        <v>23.880792222222222</v>
      </c>
      <c r="H457">
        <f t="shared" si="15"/>
        <v>90.508002500000003</v>
      </c>
    </row>
    <row r="458" spans="1:8" x14ac:dyDescent="0.3">
      <c r="A458">
        <v>23</v>
      </c>
      <c r="B458">
        <v>53</v>
      </c>
      <c r="C458">
        <v>12.667</v>
      </c>
      <c r="D458">
        <v>90</v>
      </c>
      <c r="E458">
        <v>19</v>
      </c>
      <c r="F458">
        <v>52.283999999999999</v>
      </c>
      <c r="G458">
        <f t="shared" si="14"/>
        <v>23.886851944444444</v>
      </c>
      <c r="H458">
        <f t="shared" si="15"/>
        <v>90.331189999999992</v>
      </c>
    </row>
    <row r="459" spans="1:8" x14ac:dyDescent="0.3">
      <c r="A459">
        <v>23</v>
      </c>
      <c r="B459">
        <v>53</v>
      </c>
      <c r="C459">
        <v>13.279</v>
      </c>
      <c r="D459">
        <v>90</v>
      </c>
      <c r="E459">
        <v>20</v>
      </c>
      <c r="F459">
        <v>27.61</v>
      </c>
      <c r="G459">
        <f t="shared" si="14"/>
        <v>23.887021944444445</v>
      </c>
      <c r="H459">
        <f t="shared" si="15"/>
        <v>90.341002777777774</v>
      </c>
    </row>
    <row r="460" spans="1:8" x14ac:dyDescent="0.3">
      <c r="A460">
        <v>23</v>
      </c>
      <c r="B460">
        <v>53</v>
      </c>
      <c r="C460">
        <v>13.888</v>
      </c>
      <c r="D460">
        <v>90</v>
      </c>
      <c r="E460">
        <v>21</v>
      </c>
      <c r="F460">
        <v>2.9350000000000001</v>
      </c>
      <c r="G460">
        <f t="shared" si="14"/>
        <v>23.887191111111111</v>
      </c>
      <c r="H460">
        <f t="shared" si="15"/>
        <v>90.35081527777777</v>
      </c>
    </row>
    <row r="461" spans="1:8" x14ac:dyDescent="0.3">
      <c r="A461">
        <v>23</v>
      </c>
      <c r="B461">
        <v>53</v>
      </c>
      <c r="C461">
        <v>14.496</v>
      </c>
      <c r="D461">
        <v>90</v>
      </c>
      <c r="E461">
        <v>21</v>
      </c>
      <c r="F461">
        <v>38.261000000000003</v>
      </c>
      <c r="G461">
        <f t="shared" si="14"/>
        <v>23.887360000000001</v>
      </c>
      <c r="H461">
        <f t="shared" si="15"/>
        <v>90.360628055555551</v>
      </c>
    </row>
    <row r="462" spans="1:8" x14ac:dyDescent="0.3">
      <c r="A462">
        <v>23</v>
      </c>
      <c r="B462">
        <v>53</v>
      </c>
      <c r="C462">
        <v>15.101000000000001</v>
      </c>
      <c r="D462">
        <v>90</v>
      </c>
      <c r="E462">
        <v>22</v>
      </c>
      <c r="F462">
        <v>13.587</v>
      </c>
      <c r="G462">
        <f t="shared" si="14"/>
        <v>23.887528055555556</v>
      </c>
      <c r="H462">
        <f t="shared" si="15"/>
        <v>90.370440833333333</v>
      </c>
    </row>
    <row r="463" spans="1:8" x14ac:dyDescent="0.3">
      <c r="A463">
        <v>23</v>
      </c>
      <c r="B463">
        <v>53</v>
      </c>
      <c r="C463">
        <v>15.704000000000001</v>
      </c>
      <c r="D463">
        <v>90</v>
      </c>
      <c r="E463">
        <v>22</v>
      </c>
      <c r="F463">
        <v>48.914000000000001</v>
      </c>
      <c r="G463">
        <f t="shared" si="14"/>
        <v>23.887695555555556</v>
      </c>
      <c r="H463">
        <f t="shared" si="15"/>
        <v>90.380253888888888</v>
      </c>
    </row>
    <row r="464" spans="1:8" x14ac:dyDescent="0.3">
      <c r="A464">
        <v>23</v>
      </c>
      <c r="B464">
        <v>53</v>
      </c>
      <c r="C464">
        <v>16.305</v>
      </c>
      <c r="D464">
        <v>90</v>
      </c>
      <c r="E464">
        <v>23</v>
      </c>
      <c r="F464">
        <v>24.24</v>
      </c>
      <c r="G464">
        <f t="shared" si="14"/>
        <v>23.887862500000001</v>
      </c>
      <c r="H464">
        <f t="shared" si="15"/>
        <v>90.390066666666669</v>
      </c>
    </row>
    <row r="465" spans="1:8" x14ac:dyDescent="0.3">
      <c r="A465">
        <v>23</v>
      </c>
      <c r="B465">
        <v>53</v>
      </c>
      <c r="C465">
        <v>16.902999999999999</v>
      </c>
      <c r="D465">
        <v>90</v>
      </c>
      <c r="E465">
        <v>23</v>
      </c>
      <c r="F465">
        <v>59.567</v>
      </c>
      <c r="G465">
        <f t="shared" si="14"/>
        <v>23.88802861111111</v>
      </c>
      <c r="H465">
        <f t="shared" si="15"/>
        <v>90.399879722222224</v>
      </c>
    </row>
    <row r="466" spans="1:8" x14ac:dyDescent="0.3">
      <c r="A466">
        <v>23</v>
      </c>
      <c r="B466">
        <v>53</v>
      </c>
      <c r="C466">
        <v>17.498999999999999</v>
      </c>
      <c r="D466">
        <v>90</v>
      </c>
      <c r="E466">
        <v>24</v>
      </c>
      <c r="F466">
        <v>34.895000000000003</v>
      </c>
      <c r="G466">
        <f t="shared" si="14"/>
        <v>23.888194166666665</v>
      </c>
      <c r="H466">
        <f t="shared" si="15"/>
        <v>90.409693055555564</v>
      </c>
    </row>
    <row r="467" spans="1:8" x14ac:dyDescent="0.3">
      <c r="A467">
        <v>23</v>
      </c>
      <c r="B467">
        <v>53</v>
      </c>
      <c r="C467">
        <v>18.093</v>
      </c>
      <c r="D467">
        <v>90</v>
      </c>
      <c r="E467">
        <v>25</v>
      </c>
      <c r="F467">
        <v>10.223000000000001</v>
      </c>
      <c r="G467">
        <f t="shared" si="14"/>
        <v>23.888359166666667</v>
      </c>
      <c r="H467">
        <f t="shared" si="15"/>
        <v>90.419506388888891</v>
      </c>
    </row>
    <row r="468" spans="1:8" x14ac:dyDescent="0.3">
      <c r="A468">
        <v>23</v>
      </c>
      <c r="B468">
        <v>53</v>
      </c>
      <c r="C468">
        <v>18.684999999999999</v>
      </c>
      <c r="D468">
        <v>90</v>
      </c>
      <c r="E468">
        <v>25</v>
      </c>
      <c r="F468">
        <v>45.551000000000002</v>
      </c>
      <c r="G468">
        <f t="shared" si="14"/>
        <v>23.888523611111111</v>
      </c>
      <c r="H468">
        <f t="shared" si="15"/>
        <v>90.429319722222232</v>
      </c>
    </row>
    <row r="469" spans="1:8" x14ac:dyDescent="0.3">
      <c r="A469">
        <v>23</v>
      </c>
      <c r="B469">
        <v>53</v>
      </c>
      <c r="C469">
        <v>19.274999999999999</v>
      </c>
      <c r="D469">
        <v>90</v>
      </c>
      <c r="E469">
        <v>26</v>
      </c>
      <c r="F469">
        <v>20.879000000000001</v>
      </c>
      <c r="G469">
        <f t="shared" si="14"/>
        <v>23.8886875</v>
      </c>
      <c r="H469">
        <f t="shared" si="15"/>
        <v>90.439133055555558</v>
      </c>
    </row>
    <row r="470" spans="1:8" x14ac:dyDescent="0.3">
      <c r="A470">
        <v>23</v>
      </c>
      <c r="B470">
        <v>53</v>
      </c>
      <c r="C470">
        <v>19.861999999999998</v>
      </c>
      <c r="D470">
        <v>90</v>
      </c>
      <c r="E470">
        <v>26</v>
      </c>
      <c r="F470">
        <v>56.207999999999998</v>
      </c>
      <c r="G470">
        <f t="shared" si="14"/>
        <v>23.888850555555557</v>
      </c>
      <c r="H470">
        <f t="shared" si="15"/>
        <v>90.448946666666671</v>
      </c>
    </row>
    <row r="471" spans="1:8" x14ac:dyDescent="0.3">
      <c r="A471">
        <v>23</v>
      </c>
      <c r="B471">
        <v>53</v>
      </c>
      <c r="C471">
        <v>20.446999999999999</v>
      </c>
      <c r="D471">
        <v>90</v>
      </c>
      <c r="E471">
        <v>27</v>
      </c>
      <c r="F471">
        <v>31.536999999999999</v>
      </c>
      <c r="G471">
        <f t="shared" si="14"/>
        <v>23.889013055555555</v>
      </c>
      <c r="H471">
        <f t="shared" si="15"/>
        <v>90.458760277777785</v>
      </c>
    </row>
    <row r="472" spans="1:8" x14ac:dyDescent="0.3">
      <c r="A472">
        <v>23</v>
      </c>
      <c r="B472">
        <v>53</v>
      </c>
      <c r="C472">
        <v>21.03</v>
      </c>
      <c r="D472">
        <v>90</v>
      </c>
      <c r="E472">
        <v>28</v>
      </c>
      <c r="F472">
        <v>6.8659999999999997</v>
      </c>
      <c r="G472">
        <f t="shared" si="14"/>
        <v>23.889174999999998</v>
      </c>
      <c r="H472">
        <f t="shared" si="15"/>
        <v>90.468573888888898</v>
      </c>
    </row>
    <row r="473" spans="1:8" x14ac:dyDescent="0.3">
      <c r="A473">
        <v>23</v>
      </c>
      <c r="B473">
        <v>53</v>
      </c>
      <c r="C473">
        <v>21.61</v>
      </c>
      <c r="D473">
        <v>90</v>
      </c>
      <c r="E473">
        <v>28</v>
      </c>
      <c r="F473">
        <v>42.195999999999998</v>
      </c>
      <c r="G473">
        <f t="shared" si="14"/>
        <v>23.88933611111111</v>
      </c>
      <c r="H473">
        <f t="shared" si="15"/>
        <v>90.478387777777783</v>
      </c>
    </row>
    <row r="474" spans="1:8" x14ac:dyDescent="0.3">
      <c r="A474">
        <v>23</v>
      </c>
      <c r="B474">
        <v>53</v>
      </c>
      <c r="C474">
        <v>22.187999999999999</v>
      </c>
      <c r="D474">
        <v>90</v>
      </c>
      <c r="E474">
        <v>29</v>
      </c>
      <c r="F474">
        <v>17.526</v>
      </c>
      <c r="G474">
        <f t="shared" si="14"/>
        <v>23.889496666666666</v>
      </c>
      <c r="H474">
        <f t="shared" si="15"/>
        <v>90.488201666666669</v>
      </c>
    </row>
    <row r="475" spans="1:8" x14ac:dyDescent="0.3">
      <c r="A475">
        <v>23</v>
      </c>
      <c r="B475">
        <v>53</v>
      </c>
      <c r="C475">
        <v>22.763999999999999</v>
      </c>
      <c r="D475">
        <v>90</v>
      </c>
      <c r="E475">
        <v>29</v>
      </c>
      <c r="F475">
        <v>52.856000000000002</v>
      </c>
      <c r="G475">
        <f t="shared" si="14"/>
        <v>23.889656666666667</v>
      </c>
      <c r="H475">
        <f t="shared" si="15"/>
        <v>90.498015555555554</v>
      </c>
    </row>
    <row r="476" spans="1:8" x14ac:dyDescent="0.3">
      <c r="A476">
        <v>23</v>
      </c>
      <c r="B476">
        <v>53</v>
      </c>
      <c r="C476">
        <v>23.338000000000001</v>
      </c>
      <c r="D476">
        <v>90</v>
      </c>
      <c r="E476">
        <v>30</v>
      </c>
      <c r="F476">
        <v>28.186</v>
      </c>
      <c r="G476">
        <f t="shared" si="14"/>
        <v>23.889816111111109</v>
      </c>
      <c r="H476">
        <f t="shared" si="15"/>
        <v>90.50782944444444</v>
      </c>
    </row>
    <row r="477" spans="1:8" x14ac:dyDescent="0.3">
      <c r="A477">
        <v>23</v>
      </c>
      <c r="B477">
        <v>53</v>
      </c>
      <c r="C477">
        <v>45.148000000000003</v>
      </c>
      <c r="D477">
        <v>90</v>
      </c>
      <c r="E477">
        <v>19</v>
      </c>
      <c r="F477">
        <v>51.618000000000002</v>
      </c>
      <c r="G477">
        <f t="shared" si="14"/>
        <v>23.895874444444445</v>
      </c>
      <c r="H477">
        <f t="shared" si="15"/>
        <v>90.33100499999999</v>
      </c>
    </row>
    <row r="478" spans="1:8" x14ac:dyDescent="0.3">
      <c r="A478">
        <v>23</v>
      </c>
      <c r="B478">
        <v>53</v>
      </c>
      <c r="C478">
        <v>45.76</v>
      </c>
      <c r="D478">
        <v>90</v>
      </c>
      <c r="E478">
        <v>20</v>
      </c>
      <c r="F478">
        <v>26.945</v>
      </c>
      <c r="G478">
        <f t="shared" si="14"/>
        <v>23.896044444444446</v>
      </c>
      <c r="H478">
        <f t="shared" si="15"/>
        <v>90.340818055555545</v>
      </c>
    </row>
    <row r="479" spans="1:8" x14ac:dyDescent="0.3">
      <c r="A479">
        <v>23</v>
      </c>
      <c r="B479">
        <v>53</v>
      </c>
      <c r="C479">
        <v>46.37</v>
      </c>
      <c r="D479">
        <v>90</v>
      </c>
      <c r="E479">
        <v>21</v>
      </c>
      <c r="F479">
        <v>2.2730000000000001</v>
      </c>
      <c r="G479">
        <f t="shared" si="14"/>
        <v>23.896213888888887</v>
      </c>
      <c r="H479">
        <f t="shared" si="15"/>
        <v>90.350631388888885</v>
      </c>
    </row>
    <row r="480" spans="1:8" x14ac:dyDescent="0.3">
      <c r="A480">
        <v>23</v>
      </c>
      <c r="B480">
        <v>53</v>
      </c>
      <c r="C480">
        <v>46.978000000000002</v>
      </c>
      <c r="D480">
        <v>90</v>
      </c>
      <c r="E480">
        <v>21</v>
      </c>
      <c r="F480">
        <v>37.600999999999999</v>
      </c>
      <c r="G480">
        <f t="shared" si="14"/>
        <v>23.896382777777777</v>
      </c>
      <c r="H480">
        <f t="shared" si="15"/>
        <v>90.360444722222212</v>
      </c>
    </row>
    <row r="481" spans="1:8" x14ac:dyDescent="0.3">
      <c r="A481">
        <v>23</v>
      </c>
      <c r="B481">
        <v>53</v>
      </c>
      <c r="C481">
        <v>47.582999999999998</v>
      </c>
      <c r="D481">
        <v>90</v>
      </c>
      <c r="E481">
        <v>22</v>
      </c>
      <c r="F481">
        <v>12.93</v>
      </c>
      <c r="G481">
        <f t="shared" si="14"/>
        <v>23.896550833333333</v>
      </c>
      <c r="H481">
        <f t="shared" si="15"/>
        <v>90.370258333333325</v>
      </c>
    </row>
    <row r="482" spans="1:8" x14ac:dyDescent="0.3">
      <c r="A482">
        <v>23</v>
      </c>
      <c r="B482">
        <v>53</v>
      </c>
      <c r="C482">
        <v>48.186999999999998</v>
      </c>
      <c r="D482">
        <v>90</v>
      </c>
      <c r="E482">
        <v>22</v>
      </c>
      <c r="F482">
        <v>48.259</v>
      </c>
      <c r="G482">
        <f t="shared" si="14"/>
        <v>23.896718611111112</v>
      </c>
      <c r="H482">
        <f t="shared" si="15"/>
        <v>90.380071944444438</v>
      </c>
    </row>
    <row r="483" spans="1:8" x14ac:dyDescent="0.3">
      <c r="A483">
        <v>23</v>
      </c>
      <c r="B483">
        <v>53</v>
      </c>
      <c r="C483">
        <v>48.787999999999997</v>
      </c>
      <c r="D483">
        <v>90</v>
      </c>
      <c r="E483">
        <v>23</v>
      </c>
      <c r="F483">
        <v>23.588000000000001</v>
      </c>
      <c r="G483">
        <f t="shared" si="14"/>
        <v>23.896885555555556</v>
      </c>
      <c r="H483">
        <f t="shared" si="15"/>
        <v>90.389885555555566</v>
      </c>
    </row>
    <row r="484" spans="1:8" x14ac:dyDescent="0.3">
      <c r="A484">
        <v>23</v>
      </c>
      <c r="B484">
        <v>53</v>
      </c>
      <c r="C484">
        <v>49.386000000000003</v>
      </c>
      <c r="D484">
        <v>90</v>
      </c>
      <c r="E484">
        <v>23</v>
      </c>
      <c r="F484">
        <v>58.917999999999999</v>
      </c>
      <c r="G484">
        <f t="shared" si="14"/>
        <v>23.897051666666666</v>
      </c>
      <c r="H484">
        <f t="shared" si="15"/>
        <v>90.399699444444451</v>
      </c>
    </row>
    <row r="485" spans="1:8" x14ac:dyDescent="0.3">
      <c r="A485">
        <v>23</v>
      </c>
      <c r="B485">
        <v>53</v>
      </c>
      <c r="C485">
        <v>49.982999999999997</v>
      </c>
      <c r="D485">
        <v>90</v>
      </c>
      <c r="E485">
        <v>24</v>
      </c>
      <c r="F485">
        <v>34.247</v>
      </c>
      <c r="G485">
        <f t="shared" si="14"/>
        <v>23.8972175</v>
      </c>
      <c r="H485">
        <f t="shared" si="15"/>
        <v>90.409513055555564</v>
      </c>
    </row>
    <row r="486" spans="1:8" x14ac:dyDescent="0.3">
      <c r="A486">
        <v>23</v>
      </c>
      <c r="B486">
        <v>53</v>
      </c>
      <c r="C486">
        <v>50.576999999999998</v>
      </c>
      <c r="D486">
        <v>90</v>
      </c>
      <c r="E486">
        <v>25</v>
      </c>
      <c r="F486">
        <v>9.5779999999999994</v>
      </c>
      <c r="G486">
        <f t="shared" si="14"/>
        <v>23.897382499999999</v>
      </c>
      <c r="H486">
        <f t="shared" si="15"/>
        <v>90.419327222222222</v>
      </c>
    </row>
    <row r="487" spans="1:8" x14ac:dyDescent="0.3">
      <c r="A487">
        <v>23</v>
      </c>
      <c r="B487">
        <v>53</v>
      </c>
      <c r="C487">
        <v>51.168999999999997</v>
      </c>
      <c r="D487">
        <v>90</v>
      </c>
      <c r="E487">
        <v>25</v>
      </c>
      <c r="F487">
        <v>44.908000000000001</v>
      </c>
      <c r="G487">
        <f t="shared" si="14"/>
        <v>23.897546944444443</v>
      </c>
      <c r="H487">
        <f t="shared" si="15"/>
        <v>90.429141111111122</v>
      </c>
    </row>
    <row r="488" spans="1:8" x14ac:dyDescent="0.3">
      <c r="A488">
        <v>23</v>
      </c>
      <c r="B488">
        <v>53</v>
      </c>
      <c r="C488">
        <v>51.759</v>
      </c>
      <c r="D488">
        <v>90</v>
      </c>
      <c r="E488">
        <v>26</v>
      </c>
      <c r="F488">
        <v>20.239000000000001</v>
      </c>
      <c r="G488">
        <f t="shared" si="14"/>
        <v>23.897710833333331</v>
      </c>
      <c r="H488">
        <f t="shared" si="15"/>
        <v>90.438955277777779</v>
      </c>
    </row>
    <row r="489" spans="1:8" x14ac:dyDescent="0.3">
      <c r="A489">
        <v>23</v>
      </c>
      <c r="B489">
        <v>53</v>
      </c>
      <c r="C489">
        <v>52.345999999999997</v>
      </c>
      <c r="D489">
        <v>90</v>
      </c>
      <c r="E489">
        <v>26</v>
      </c>
      <c r="F489">
        <v>55.57</v>
      </c>
      <c r="G489">
        <f t="shared" si="14"/>
        <v>23.897873888888888</v>
      </c>
      <c r="H489">
        <f t="shared" si="15"/>
        <v>90.448769444444451</v>
      </c>
    </row>
    <row r="490" spans="1:8" x14ac:dyDescent="0.3">
      <c r="A490">
        <v>23</v>
      </c>
      <c r="B490">
        <v>53</v>
      </c>
      <c r="C490">
        <v>52.930999999999997</v>
      </c>
      <c r="D490">
        <v>90</v>
      </c>
      <c r="E490">
        <v>27</v>
      </c>
      <c r="F490">
        <v>30.902000000000001</v>
      </c>
      <c r="G490">
        <f t="shared" si="14"/>
        <v>23.898036388888887</v>
      </c>
      <c r="H490">
        <f t="shared" si="15"/>
        <v>90.458583888888896</v>
      </c>
    </row>
    <row r="491" spans="1:8" x14ac:dyDescent="0.3">
      <c r="A491">
        <v>23</v>
      </c>
      <c r="B491">
        <v>53</v>
      </c>
      <c r="C491">
        <v>53.514000000000003</v>
      </c>
      <c r="D491">
        <v>90</v>
      </c>
      <c r="E491">
        <v>28</v>
      </c>
      <c r="F491">
        <v>6.2329999999999997</v>
      </c>
      <c r="G491">
        <f t="shared" si="14"/>
        <v>23.898198333333333</v>
      </c>
      <c r="H491">
        <f t="shared" si="15"/>
        <v>90.468398055555554</v>
      </c>
    </row>
    <row r="492" spans="1:8" x14ac:dyDescent="0.3">
      <c r="A492">
        <v>23</v>
      </c>
      <c r="B492">
        <v>53</v>
      </c>
      <c r="C492">
        <v>54.094999999999999</v>
      </c>
      <c r="D492">
        <v>90</v>
      </c>
      <c r="E492">
        <v>28</v>
      </c>
      <c r="F492">
        <v>41.564999999999998</v>
      </c>
      <c r="G492">
        <f t="shared" si="14"/>
        <v>23.898359722222221</v>
      </c>
      <c r="H492">
        <f t="shared" si="15"/>
        <v>90.478212499999998</v>
      </c>
    </row>
    <row r="493" spans="1:8" x14ac:dyDescent="0.3">
      <c r="A493">
        <v>23</v>
      </c>
      <c r="B493">
        <v>53</v>
      </c>
      <c r="C493">
        <v>54.673999999999999</v>
      </c>
      <c r="D493">
        <v>90</v>
      </c>
      <c r="E493">
        <v>29</v>
      </c>
      <c r="F493">
        <v>16.898</v>
      </c>
      <c r="G493">
        <f t="shared" si="14"/>
        <v>23.898520555555557</v>
      </c>
      <c r="H493">
        <f t="shared" si="15"/>
        <v>90.488027222222229</v>
      </c>
    </row>
    <row r="494" spans="1:8" x14ac:dyDescent="0.3">
      <c r="A494">
        <v>23</v>
      </c>
      <c r="B494">
        <v>53</v>
      </c>
      <c r="C494">
        <v>55.25</v>
      </c>
      <c r="D494">
        <v>90</v>
      </c>
      <c r="E494">
        <v>29</v>
      </c>
      <c r="F494">
        <v>52.231000000000002</v>
      </c>
      <c r="G494">
        <f t="shared" si="14"/>
        <v>23.898680555555554</v>
      </c>
      <c r="H494">
        <f t="shared" si="15"/>
        <v>90.497841944444446</v>
      </c>
    </row>
    <row r="495" spans="1:8" x14ac:dyDescent="0.3">
      <c r="A495">
        <v>23</v>
      </c>
      <c r="B495">
        <v>53</v>
      </c>
      <c r="C495">
        <v>55.823999999999998</v>
      </c>
      <c r="D495">
        <v>90</v>
      </c>
      <c r="E495">
        <v>30</v>
      </c>
      <c r="F495">
        <v>27.564</v>
      </c>
      <c r="G495">
        <f t="shared" si="14"/>
        <v>23.89884</v>
      </c>
      <c r="H495">
        <f t="shared" si="15"/>
        <v>90.507656666666662</v>
      </c>
    </row>
  </sheetData>
  <mergeCells count="2">
    <mergeCell ref="D1:F1"/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5"/>
  <sheetViews>
    <sheetView workbookViewId="0">
      <selection activeCell="C2" sqref="C2"/>
    </sheetView>
  </sheetViews>
  <sheetFormatPr defaultColWidth="16.44140625" defaultRowHeight="14.4" x14ac:dyDescent="0.3"/>
  <cols>
    <col min="1" max="1" width="14.44140625" bestFit="1" customWidth="1"/>
    <col min="2" max="2" width="14.109375" bestFit="1" customWidth="1"/>
    <col min="3" max="3" width="23.109375" customWidth="1"/>
    <col min="4" max="4" width="24.44140625" customWidth="1"/>
    <col min="5" max="5" width="16.44140625" customWidth="1"/>
  </cols>
  <sheetData>
    <row r="1" spans="1:5" x14ac:dyDescent="0.3">
      <c r="A1" s="9" t="s">
        <v>13</v>
      </c>
      <c r="B1" s="8" t="s">
        <v>12</v>
      </c>
      <c r="C1" s="9" t="s">
        <v>14</v>
      </c>
      <c r="D1" s="8" t="s">
        <v>15</v>
      </c>
    </row>
    <row r="2" spans="1:5" x14ac:dyDescent="0.3">
      <c r="A2" t="s">
        <v>1004</v>
      </c>
      <c r="B2" t="s">
        <v>1498</v>
      </c>
      <c r="C2">
        <f>DecimalDegreesConverter(A2,,,,TRUE)</f>
        <v>23.670306666666669</v>
      </c>
      <c r="D2">
        <f>DecimalDegreesConverter(B2,,,,TRUE)</f>
        <v>90.335608888888885</v>
      </c>
    </row>
    <row r="3" spans="1:5" x14ac:dyDescent="0.3">
      <c r="A3" t="s">
        <v>1005</v>
      </c>
      <c r="B3" t="s">
        <v>1499</v>
      </c>
      <c r="C3">
        <f t="shared" ref="C3:C66" si="0">DecimalDegreesConverter(A3,,,,TRUE)</f>
        <v>23.670474722222224</v>
      </c>
      <c r="D3">
        <f t="shared" ref="D3:D66" si="1">DecimalDegreesConverter(B3,,,,TRUE)</f>
        <v>90.345405277777772</v>
      </c>
    </row>
    <row r="4" spans="1:5" x14ac:dyDescent="0.3">
      <c r="A4" t="s">
        <v>1006</v>
      </c>
      <c r="B4" t="s">
        <v>1500</v>
      </c>
      <c r="C4">
        <f t="shared" si="0"/>
        <v>23.6706425</v>
      </c>
      <c r="D4">
        <f t="shared" si="1"/>
        <v>90.355201666666659</v>
      </c>
    </row>
    <row r="5" spans="1:5" x14ac:dyDescent="0.3">
      <c r="A5" t="s">
        <v>1007</v>
      </c>
      <c r="B5" t="s">
        <v>1501</v>
      </c>
      <c r="C5">
        <f t="shared" si="0"/>
        <v>23.670809444444444</v>
      </c>
      <c r="D5">
        <f t="shared" si="1"/>
        <v>90.364998333333332</v>
      </c>
    </row>
    <row r="6" spans="1:5" x14ac:dyDescent="0.3">
      <c r="A6" t="s">
        <v>1008</v>
      </c>
      <c r="B6" t="s">
        <v>1502</v>
      </c>
      <c r="C6">
        <f t="shared" si="0"/>
        <v>23.670975833333333</v>
      </c>
      <c r="D6">
        <f t="shared" si="1"/>
        <v>90.374794999999992</v>
      </c>
    </row>
    <row r="7" spans="1:5" x14ac:dyDescent="0.3">
      <c r="A7" t="s">
        <v>1009</v>
      </c>
      <c r="B7" t="s">
        <v>1503</v>
      </c>
      <c r="C7">
        <f t="shared" si="0"/>
        <v>23.671141666666667</v>
      </c>
      <c r="D7">
        <f t="shared" si="1"/>
        <v>90.38459166666668</v>
      </c>
    </row>
    <row r="8" spans="1:5" x14ac:dyDescent="0.3">
      <c r="A8" t="s">
        <v>1010</v>
      </c>
      <c r="B8" t="s">
        <v>1504</v>
      </c>
      <c r="C8">
        <f t="shared" si="0"/>
        <v>23.671306944444446</v>
      </c>
      <c r="D8">
        <f t="shared" si="1"/>
        <v>90.394388333333339</v>
      </c>
    </row>
    <row r="9" spans="1:5" x14ac:dyDescent="0.3">
      <c r="A9" t="s">
        <v>1011</v>
      </c>
      <c r="B9" t="s">
        <v>1505</v>
      </c>
      <c r="C9">
        <f t="shared" si="0"/>
        <v>23.671471388888889</v>
      </c>
      <c r="D9">
        <f t="shared" si="1"/>
        <v>90.404185277777785</v>
      </c>
    </row>
    <row r="10" spans="1:5" x14ac:dyDescent="0.3">
      <c r="A10" t="s">
        <v>1012</v>
      </c>
      <c r="B10" t="s">
        <v>1506</v>
      </c>
      <c r="C10">
        <f t="shared" si="0"/>
        <v>23.671635277777778</v>
      </c>
      <c r="D10">
        <f t="shared" si="1"/>
        <v>90.413982222222231</v>
      </c>
    </row>
    <row r="11" spans="1:5" x14ac:dyDescent="0.3">
      <c r="A11" t="s">
        <v>1013</v>
      </c>
      <c r="B11" t="s">
        <v>1507</v>
      </c>
      <c r="C11">
        <f t="shared" si="0"/>
        <v>23.671798611111111</v>
      </c>
      <c r="D11">
        <f t="shared" si="1"/>
        <v>90.423779166666677</v>
      </c>
    </row>
    <row r="12" spans="1:5" x14ac:dyDescent="0.3">
      <c r="A12" t="s">
        <v>1014</v>
      </c>
      <c r="B12" t="s">
        <v>1508</v>
      </c>
      <c r="C12">
        <f t="shared" si="0"/>
        <v>23.671961388888889</v>
      </c>
      <c r="D12">
        <f t="shared" si="1"/>
        <v>90.433576388888895</v>
      </c>
    </row>
    <row r="13" spans="1:5" x14ac:dyDescent="0.3">
      <c r="A13" t="s">
        <v>1015</v>
      </c>
      <c r="B13" t="s">
        <v>1509</v>
      </c>
      <c r="C13">
        <f t="shared" si="0"/>
        <v>23.672123333333335</v>
      </c>
      <c r="D13">
        <f t="shared" si="1"/>
        <v>90.443373611111113</v>
      </c>
    </row>
    <row r="14" spans="1:5" x14ac:dyDescent="0.3">
      <c r="A14" t="s">
        <v>1016</v>
      </c>
      <c r="B14" t="s">
        <v>1510</v>
      </c>
      <c r="C14">
        <f t="shared" si="0"/>
        <v>23.672285000000002</v>
      </c>
      <c r="D14">
        <f t="shared" si="1"/>
        <v>90.453171111111118</v>
      </c>
      <c r="E14" s="7"/>
    </row>
    <row r="15" spans="1:5" x14ac:dyDescent="0.3">
      <c r="A15" t="s">
        <v>1017</v>
      </c>
      <c r="B15" t="s">
        <v>1511</v>
      </c>
      <c r="C15">
        <f t="shared" si="0"/>
        <v>23.672445833333335</v>
      </c>
      <c r="D15">
        <f t="shared" si="1"/>
        <v>90.462968333333336</v>
      </c>
    </row>
    <row r="16" spans="1:5" x14ac:dyDescent="0.3">
      <c r="A16" t="s">
        <v>1018</v>
      </c>
      <c r="B16" t="s">
        <v>1512</v>
      </c>
      <c r="C16">
        <f t="shared" si="0"/>
        <v>23.672606111111111</v>
      </c>
      <c r="D16">
        <f t="shared" si="1"/>
        <v>90.472765833333341</v>
      </c>
    </row>
    <row r="17" spans="1:4" x14ac:dyDescent="0.3">
      <c r="A17" t="s">
        <v>1019</v>
      </c>
      <c r="B17" t="s">
        <v>1513</v>
      </c>
      <c r="C17">
        <f t="shared" si="0"/>
        <v>23.672765555555557</v>
      </c>
      <c r="D17">
        <f t="shared" si="1"/>
        <v>90.482563333333331</v>
      </c>
    </row>
    <row r="18" spans="1:4" x14ac:dyDescent="0.3">
      <c r="A18" t="s">
        <v>1020</v>
      </c>
      <c r="B18" t="s">
        <v>1514</v>
      </c>
      <c r="C18">
        <f t="shared" si="0"/>
        <v>23.672924722222223</v>
      </c>
      <c r="D18">
        <f t="shared" si="1"/>
        <v>90.492361111111109</v>
      </c>
    </row>
    <row r="19" spans="1:4" x14ac:dyDescent="0.3">
      <c r="A19" t="s">
        <v>1021</v>
      </c>
      <c r="B19" t="s">
        <v>1515</v>
      </c>
      <c r="C19">
        <f t="shared" si="0"/>
        <v>23.673083055555558</v>
      </c>
      <c r="D19">
        <f t="shared" si="1"/>
        <v>90.502158888888886</v>
      </c>
    </row>
    <row r="20" spans="1:4" x14ac:dyDescent="0.3">
      <c r="A20" t="s">
        <v>1022</v>
      </c>
      <c r="B20" t="s">
        <v>1516</v>
      </c>
      <c r="C20">
        <f t="shared" si="0"/>
        <v>23.673240833333335</v>
      </c>
      <c r="D20">
        <f t="shared" si="1"/>
        <v>90.511956666666663</v>
      </c>
    </row>
    <row r="21" spans="1:4" x14ac:dyDescent="0.3">
      <c r="A21" t="s">
        <v>1023</v>
      </c>
      <c r="B21" t="s">
        <v>1517</v>
      </c>
      <c r="C21">
        <f t="shared" si="0"/>
        <v>23.679329444444445</v>
      </c>
      <c r="D21">
        <f t="shared" si="1"/>
        <v>90.335425833333332</v>
      </c>
    </row>
    <row r="22" spans="1:4" x14ac:dyDescent="0.3">
      <c r="A22" t="s">
        <v>1024</v>
      </c>
      <c r="B22" t="s">
        <v>1518</v>
      </c>
      <c r="C22">
        <f t="shared" si="0"/>
        <v>23.67949777777778</v>
      </c>
      <c r="D22">
        <f t="shared" si="1"/>
        <v>90.34522305555555</v>
      </c>
    </row>
    <row r="23" spans="1:4" x14ac:dyDescent="0.3">
      <c r="A23" t="s">
        <v>1025</v>
      </c>
      <c r="B23" t="s">
        <v>1519</v>
      </c>
      <c r="C23">
        <f t="shared" si="0"/>
        <v>23.679665555555555</v>
      </c>
      <c r="D23">
        <f t="shared" si="1"/>
        <v>90.355019999999996</v>
      </c>
    </row>
    <row r="24" spans="1:4" x14ac:dyDescent="0.3">
      <c r="A24" t="s">
        <v>1026</v>
      </c>
      <c r="B24" t="s">
        <v>1520</v>
      </c>
      <c r="C24">
        <f t="shared" si="0"/>
        <v>23.6798325</v>
      </c>
      <c r="D24">
        <f t="shared" si="1"/>
        <v>90.364817222222214</v>
      </c>
    </row>
    <row r="25" spans="1:4" x14ac:dyDescent="0.3">
      <c r="A25" t="s">
        <v>1027</v>
      </c>
      <c r="B25" t="s">
        <v>1521</v>
      </c>
      <c r="C25">
        <f t="shared" si="0"/>
        <v>23.679999166666668</v>
      </c>
      <c r="D25">
        <f t="shared" si="1"/>
        <v>90.374614444444433</v>
      </c>
    </row>
    <row r="26" spans="1:4" x14ac:dyDescent="0.3">
      <c r="A26" t="s">
        <v>1028</v>
      </c>
      <c r="B26" t="s">
        <v>1522</v>
      </c>
      <c r="C26">
        <f t="shared" si="0"/>
        <v>23.680165000000002</v>
      </c>
      <c r="D26">
        <f t="shared" si="1"/>
        <v>90.384411944444452</v>
      </c>
    </row>
    <row r="27" spans="1:4" x14ac:dyDescent="0.3">
      <c r="A27" t="s">
        <v>1029</v>
      </c>
      <c r="B27" t="s">
        <v>1523</v>
      </c>
      <c r="C27">
        <f t="shared" si="0"/>
        <v>23.680330277777777</v>
      </c>
      <c r="D27">
        <f t="shared" si="1"/>
        <v>90.394209444444456</v>
      </c>
    </row>
    <row r="28" spans="1:4" x14ac:dyDescent="0.3">
      <c r="A28" t="s">
        <v>1030</v>
      </c>
      <c r="B28" t="s">
        <v>1524</v>
      </c>
      <c r="C28">
        <f t="shared" si="0"/>
        <v>23.680494722222225</v>
      </c>
      <c r="D28">
        <f t="shared" si="1"/>
        <v>90.404006944444447</v>
      </c>
    </row>
    <row r="29" spans="1:4" x14ac:dyDescent="0.3">
      <c r="A29" t="s">
        <v>1031</v>
      </c>
      <c r="B29" t="s">
        <v>1525</v>
      </c>
      <c r="C29">
        <f t="shared" si="0"/>
        <v>23.680658888888889</v>
      </c>
      <c r="D29">
        <f t="shared" si="1"/>
        <v>90.413804444444452</v>
      </c>
    </row>
    <row r="30" spans="1:4" x14ac:dyDescent="0.3">
      <c r="A30" t="s">
        <v>1032</v>
      </c>
      <c r="B30" t="s">
        <v>1526</v>
      </c>
      <c r="C30">
        <f t="shared" si="0"/>
        <v>23.680822222222222</v>
      </c>
      <c r="D30">
        <f t="shared" si="1"/>
        <v>90.423602222222229</v>
      </c>
    </row>
    <row r="31" spans="1:4" x14ac:dyDescent="0.3">
      <c r="A31" t="s">
        <v>1033</v>
      </c>
      <c r="B31" t="s">
        <v>1527</v>
      </c>
      <c r="C31">
        <f t="shared" si="0"/>
        <v>23.680985</v>
      </c>
      <c r="D31">
        <f t="shared" si="1"/>
        <v>90.433400000000006</v>
      </c>
    </row>
    <row r="32" spans="1:4" x14ac:dyDescent="0.3">
      <c r="A32" t="s">
        <v>1034</v>
      </c>
      <c r="B32" t="s">
        <v>1528</v>
      </c>
      <c r="C32">
        <f t="shared" si="0"/>
        <v>23.681147222222222</v>
      </c>
      <c r="D32">
        <f t="shared" si="1"/>
        <v>90.443198055555555</v>
      </c>
    </row>
    <row r="33" spans="1:4" x14ac:dyDescent="0.3">
      <c r="A33" t="s">
        <v>1035</v>
      </c>
      <c r="B33" t="s">
        <v>1529</v>
      </c>
      <c r="C33">
        <f t="shared" si="0"/>
        <v>23.681308611111113</v>
      </c>
      <c r="D33">
        <f t="shared" si="1"/>
        <v>90.452996111111119</v>
      </c>
    </row>
    <row r="34" spans="1:4" x14ac:dyDescent="0.3">
      <c r="A34" t="s">
        <v>1036</v>
      </c>
      <c r="B34" t="s">
        <v>1530</v>
      </c>
      <c r="C34">
        <f t="shared" si="0"/>
        <v>23.681469444444446</v>
      </c>
      <c r="D34">
        <f t="shared" si="1"/>
        <v>90.462794166666669</v>
      </c>
    </row>
    <row r="35" spans="1:4" x14ac:dyDescent="0.3">
      <c r="A35" t="s">
        <v>1037</v>
      </c>
      <c r="B35" t="s">
        <v>1531</v>
      </c>
      <c r="C35">
        <f t="shared" si="0"/>
        <v>23.681629722222223</v>
      </c>
      <c r="D35">
        <f t="shared" si="1"/>
        <v>90.472592222222218</v>
      </c>
    </row>
    <row r="36" spans="1:4" x14ac:dyDescent="0.3">
      <c r="A36" t="s">
        <v>1038</v>
      </c>
      <c r="B36" t="s">
        <v>1532</v>
      </c>
      <c r="C36">
        <f t="shared" si="0"/>
        <v>23.681789444444444</v>
      </c>
      <c r="D36">
        <f t="shared" si="1"/>
        <v>90.482390555555554</v>
      </c>
    </row>
    <row r="37" spans="1:4" x14ac:dyDescent="0.3">
      <c r="A37" t="s">
        <v>1039</v>
      </c>
      <c r="B37" t="s">
        <v>1533</v>
      </c>
      <c r="C37">
        <f t="shared" si="0"/>
        <v>23.681948611111114</v>
      </c>
      <c r="D37">
        <f t="shared" si="1"/>
        <v>90.49218888888889</v>
      </c>
    </row>
    <row r="38" spans="1:4" x14ac:dyDescent="0.3">
      <c r="A38" t="s">
        <v>1040</v>
      </c>
      <c r="B38" t="s">
        <v>1534</v>
      </c>
      <c r="C38">
        <f t="shared" si="0"/>
        <v>23.682106944444445</v>
      </c>
      <c r="D38">
        <f t="shared" si="1"/>
        <v>90.501987222222226</v>
      </c>
    </row>
    <row r="39" spans="1:4" x14ac:dyDescent="0.3">
      <c r="A39" t="s">
        <v>1041</v>
      </c>
      <c r="B39" t="s">
        <v>1535</v>
      </c>
      <c r="C39">
        <f t="shared" si="0"/>
        <v>23.682264722222225</v>
      </c>
      <c r="D39">
        <f t="shared" si="1"/>
        <v>90.511785833333334</v>
      </c>
    </row>
    <row r="40" spans="1:4" x14ac:dyDescent="0.3">
      <c r="A40" t="s">
        <v>1042</v>
      </c>
      <c r="B40" t="s">
        <v>1536</v>
      </c>
      <c r="C40">
        <f t="shared" si="0"/>
        <v>23.688352222222221</v>
      </c>
      <c r="D40">
        <f t="shared" si="1"/>
        <v>90.335242777777779</v>
      </c>
    </row>
    <row r="41" spans="1:4" x14ac:dyDescent="0.3">
      <c r="A41" t="s">
        <v>1043</v>
      </c>
      <c r="B41" t="s">
        <v>1537</v>
      </c>
      <c r="C41">
        <f t="shared" si="0"/>
        <v>23.688520555555556</v>
      </c>
      <c r="D41">
        <f t="shared" si="1"/>
        <v>90.345040555555556</v>
      </c>
    </row>
    <row r="42" spans="1:4" x14ac:dyDescent="0.3">
      <c r="A42" t="s">
        <v>1044</v>
      </c>
      <c r="B42" t="s">
        <v>1538</v>
      </c>
      <c r="C42">
        <f t="shared" si="0"/>
        <v>23.688688333333335</v>
      </c>
      <c r="D42">
        <f t="shared" si="1"/>
        <v>90.354838333333333</v>
      </c>
    </row>
    <row r="43" spans="1:4" x14ac:dyDescent="0.3">
      <c r="A43" t="s">
        <v>1045</v>
      </c>
      <c r="B43" t="s">
        <v>1539</v>
      </c>
      <c r="C43">
        <f t="shared" si="0"/>
        <v>23.688855555555556</v>
      </c>
      <c r="D43">
        <f t="shared" si="1"/>
        <v>90.36463611111111</v>
      </c>
    </row>
    <row r="44" spans="1:4" x14ac:dyDescent="0.3">
      <c r="A44" t="s">
        <v>1046</v>
      </c>
      <c r="B44" t="s">
        <v>1540</v>
      </c>
      <c r="C44">
        <f t="shared" si="0"/>
        <v>23.689022222222224</v>
      </c>
      <c r="D44">
        <f t="shared" si="1"/>
        <v>90.37443416666666</v>
      </c>
    </row>
    <row r="45" spans="1:4" x14ac:dyDescent="0.3">
      <c r="A45" t="s">
        <v>1047</v>
      </c>
      <c r="B45" t="s">
        <v>1541</v>
      </c>
      <c r="C45">
        <f t="shared" si="0"/>
        <v>23.689188055555555</v>
      </c>
      <c r="D45">
        <f t="shared" si="1"/>
        <v>90.384231944444451</v>
      </c>
    </row>
    <row r="46" spans="1:4" x14ac:dyDescent="0.3">
      <c r="A46" t="s">
        <v>1048</v>
      </c>
      <c r="B46" t="s">
        <v>1542</v>
      </c>
      <c r="C46">
        <f t="shared" si="0"/>
        <v>23.689353333333333</v>
      </c>
      <c r="D46">
        <f t="shared" si="1"/>
        <v>90.394030277777787</v>
      </c>
    </row>
    <row r="47" spans="1:4" x14ac:dyDescent="0.3">
      <c r="A47" t="s">
        <v>1049</v>
      </c>
      <c r="B47" t="s">
        <v>1543</v>
      </c>
      <c r="C47">
        <f t="shared" si="0"/>
        <v>23.689518055555556</v>
      </c>
      <c r="D47">
        <f t="shared" si="1"/>
        <v>90.403828333333337</v>
      </c>
    </row>
    <row r="48" spans="1:4" x14ac:dyDescent="0.3">
      <c r="A48" t="s">
        <v>1050</v>
      </c>
      <c r="B48" t="s">
        <v>1544</v>
      </c>
      <c r="C48">
        <f t="shared" si="0"/>
        <v>23.689682222222224</v>
      </c>
      <c r="D48">
        <f t="shared" si="1"/>
        <v>90.413626666666673</v>
      </c>
    </row>
    <row r="49" spans="1:4" x14ac:dyDescent="0.3">
      <c r="A49" t="s">
        <v>1051</v>
      </c>
      <c r="B49" t="s">
        <v>1545</v>
      </c>
      <c r="C49">
        <f t="shared" si="0"/>
        <v>23.689845555555557</v>
      </c>
      <c r="D49">
        <f t="shared" si="1"/>
        <v>90.423425277777781</v>
      </c>
    </row>
    <row r="50" spans="1:4" x14ac:dyDescent="0.3">
      <c r="A50" t="s">
        <v>1052</v>
      </c>
      <c r="B50" t="s">
        <v>1546</v>
      </c>
      <c r="C50">
        <f t="shared" si="0"/>
        <v>23.690008611111111</v>
      </c>
      <c r="D50">
        <f t="shared" si="1"/>
        <v>90.433223611111117</v>
      </c>
    </row>
    <row r="51" spans="1:4" x14ac:dyDescent="0.3">
      <c r="A51" t="s">
        <v>1053</v>
      </c>
      <c r="B51" t="s">
        <v>1547</v>
      </c>
      <c r="C51">
        <f t="shared" si="0"/>
        <v>23.690170833333333</v>
      </c>
      <c r="D51">
        <f t="shared" si="1"/>
        <v>90.443022222222226</v>
      </c>
    </row>
    <row r="52" spans="1:4" x14ac:dyDescent="0.3">
      <c r="A52" t="s">
        <v>1054</v>
      </c>
      <c r="B52" t="s">
        <v>1548</v>
      </c>
      <c r="C52">
        <f t="shared" si="0"/>
        <v>23.690332222222221</v>
      </c>
      <c r="D52">
        <f t="shared" si="1"/>
        <v>90.452820833333334</v>
      </c>
    </row>
    <row r="53" spans="1:4" x14ac:dyDescent="0.3">
      <c r="A53" t="s">
        <v>1055</v>
      </c>
      <c r="B53" t="s">
        <v>1549</v>
      </c>
      <c r="C53">
        <f t="shared" si="0"/>
        <v>23.690493333333333</v>
      </c>
      <c r="D53">
        <f t="shared" si="1"/>
        <v>90.462619722222229</v>
      </c>
    </row>
    <row r="54" spans="1:4" x14ac:dyDescent="0.3">
      <c r="A54" t="s">
        <v>1056</v>
      </c>
      <c r="B54" t="s">
        <v>1550</v>
      </c>
      <c r="C54">
        <f t="shared" si="0"/>
        <v>23.690653611111113</v>
      </c>
      <c r="D54">
        <f t="shared" si="1"/>
        <v>90.472418333333337</v>
      </c>
    </row>
    <row r="55" spans="1:4" x14ac:dyDescent="0.3">
      <c r="A55" t="s">
        <v>1057</v>
      </c>
      <c r="B55" t="s">
        <v>1551</v>
      </c>
      <c r="C55">
        <f t="shared" si="0"/>
        <v>23.690813333333335</v>
      </c>
      <c r="D55">
        <f t="shared" si="1"/>
        <v>90.482217500000004</v>
      </c>
    </row>
    <row r="56" spans="1:4" x14ac:dyDescent="0.3">
      <c r="A56" t="s">
        <v>1058</v>
      </c>
      <c r="B56" t="s">
        <v>1552</v>
      </c>
      <c r="C56">
        <f t="shared" si="0"/>
        <v>23.690972500000001</v>
      </c>
      <c r="D56">
        <f t="shared" si="1"/>
        <v>90.492016388888885</v>
      </c>
    </row>
    <row r="57" spans="1:4" x14ac:dyDescent="0.3">
      <c r="A57" t="s">
        <v>1059</v>
      </c>
      <c r="B57" t="s">
        <v>1553</v>
      </c>
      <c r="C57">
        <f t="shared" si="0"/>
        <v>23.691131111111112</v>
      </c>
      <c r="D57">
        <f t="shared" si="1"/>
        <v>90.501815555555552</v>
      </c>
    </row>
    <row r="58" spans="1:4" x14ac:dyDescent="0.3">
      <c r="A58" t="s">
        <v>1060</v>
      </c>
      <c r="B58" t="s">
        <v>1554</v>
      </c>
      <c r="C58">
        <f t="shared" si="0"/>
        <v>23.691288888888888</v>
      </c>
      <c r="D58">
        <f t="shared" si="1"/>
        <v>90.51161472222222</v>
      </c>
    </row>
    <row r="59" spans="1:4" x14ac:dyDescent="0.3">
      <c r="A59" t="s">
        <v>1061</v>
      </c>
      <c r="B59" t="s">
        <v>1555</v>
      </c>
      <c r="C59">
        <f t="shared" si="0"/>
        <v>23.697375000000001</v>
      </c>
      <c r="D59">
        <f t="shared" si="1"/>
        <v>90.33505944444444</v>
      </c>
    </row>
    <row r="60" spans="1:4" x14ac:dyDescent="0.3">
      <c r="A60" t="s">
        <v>1062</v>
      </c>
      <c r="B60" t="s">
        <v>1556</v>
      </c>
      <c r="C60">
        <f t="shared" si="0"/>
        <v>23.697543611111112</v>
      </c>
      <c r="D60">
        <f t="shared" si="1"/>
        <v>90.344857777777776</v>
      </c>
    </row>
    <row r="61" spans="1:4" x14ac:dyDescent="0.3">
      <c r="A61" t="s">
        <v>1063</v>
      </c>
      <c r="B61" t="s">
        <v>1557</v>
      </c>
      <c r="C61">
        <f t="shared" si="0"/>
        <v>23.697711388888891</v>
      </c>
      <c r="D61">
        <f t="shared" si="1"/>
        <v>90.354656388888884</v>
      </c>
    </row>
    <row r="62" spans="1:4" x14ac:dyDescent="0.3">
      <c r="A62" t="s">
        <v>1064</v>
      </c>
      <c r="B62" t="s">
        <v>1558</v>
      </c>
      <c r="C62">
        <f t="shared" si="0"/>
        <v>23.697878611111111</v>
      </c>
      <c r="D62">
        <f t="shared" si="1"/>
        <v>90.36445472222222</v>
      </c>
    </row>
    <row r="63" spans="1:4" x14ac:dyDescent="0.3">
      <c r="A63" t="s">
        <v>1065</v>
      </c>
      <c r="B63" t="s">
        <v>1559</v>
      </c>
      <c r="C63">
        <f t="shared" si="0"/>
        <v>23.698045277777776</v>
      </c>
      <c r="D63">
        <f t="shared" si="1"/>
        <v>90.374253333333328</v>
      </c>
    </row>
    <row r="64" spans="1:4" x14ac:dyDescent="0.3">
      <c r="A64" t="s">
        <v>1066</v>
      </c>
      <c r="B64" t="s">
        <v>1560</v>
      </c>
      <c r="C64">
        <f t="shared" si="0"/>
        <v>23.69821138888889</v>
      </c>
      <c r="D64">
        <f t="shared" si="1"/>
        <v>90.384052222222223</v>
      </c>
    </row>
    <row r="65" spans="1:4" x14ac:dyDescent="0.3">
      <c r="A65" t="s">
        <v>1067</v>
      </c>
      <c r="B65" t="s">
        <v>1561</v>
      </c>
      <c r="C65">
        <f t="shared" si="0"/>
        <v>23.698376666666668</v>
      </c>
      <c r="D65">
        <f t="shared" si="1"/>
        <v>90.393851111111118</v>
      </c>
    </row>
    <row r="66" spans="1:4" x14ac:dyDescent="0.3">
      <c r="A66" t="s">
        <v>1068</v>
      </c>
      <c r="B66" t="s">
        <v>1562</v>
      </c>
      <c r="C66">
        <f t="shared" si="0"/>
        <v>23.698541388888888</v>
      </c>
      <c r="D66">
        <f t="shared" si="1"/>
        <v>90.403649999999999</v>
      </c>
    </row>
    <row r="67" spans="1:4" x14ac:dyDescent="0.3">
      <c r="A67" t="s">
        <v>1069</v>
      </c>
      <c r="B67" t="s">
        <v>1563</v>
      </c>
      <c r="C67">
        <f t="shared" ref="C67:C130" si="2">DecimalDegreesConverter(A67,,,,TRUE)</f>
        <v>23.698705555555556</v>
      </c>
      <c r="D67">
        <f t="shared" ref="D67:D130" si="3">DecimalDegreesConverter(B67,,,,TRUE)</f>
        <v>90.413448888888894</v>
      </c>
    </row>
    <row r="68" spans="1:4" x14ac:dyDescent="0.3">
      <c r="A68" t="s">
        <v>1070</v>
      </c>
      <c r="B68" t="s">
        <v>1564</v>
      </c>
      <c r="C68">
        <f t="shared" si="2"/>
        <v>23.698869166666668</v>
      </c>
      <c r="D68">
        <f t="shared" si="3"/>
        <v>90.423248055555561</v>
      </c>
    </row>
    <row r="69" spans="1:4" x14ac:dyDescent="0.3">
      <c r="A69" t="s">
        <v>1071</v>
      </c>
      <c r="B69" t="s">
        <v>1565</v>
      </c>
      <c r="C69">
        <f t="shared" si="2"/>
        <v>23.699031944444446</v>
      </c>
      <c r="D69">
        <f t="shared" si="3"/>
        <v>90.433047222222228</v>
      </c>
    </row>
    <row r="70" spans="1:4" x14ac:dyDescent="0.3">
      <c r="A70" t="s">
        <v>1072</v>
      </c>
      <c r="B70" t="s">
        <v>1566</v>
      </c>
      <c r="C70">
        <f t="shared" si="2"/>
        <v>23.699194444444444</v>
      </c>
      <c r="D70">
        <f t="shared" si="3"/>
        <v>90.442846388888896</v>
      </c>
    </row>
    <row r="71" spans="1:4" x14ac:dyDescent="0.3">
      <c r="A71" t="s">
        <v>1073</v>
      </c>
      <c r="B71" t="s">
        <v>1567</v>
      </c>
      <c r="C71">
        <f t="shared" si="2"/>
        <v>23.699356111111111</v>
      </c>
      <c r="D71">
        <f t="shared" si="3"/>
        <v>90.452645555555563</v>
      </c>
    </row>
    <row r="72" spans="1:4" x14ac:dyDescent="0.3">
      <c r="A72" t="s">
        <v>1074</v>
      </c>
      <c r="B72" t="s">
        <v>1568</v>
      </c>
      <c r="C72">
        <f t="shared" si="2"/>
        <v>23.699516944444444</v>
      </c>
      <c r="D72">
        <f t="shared" si="3"/>
        <v>90.462445000000002</v>
      </c>
    </row>
    <row r="73" spans="1:4" x14ac:dyDescent="0.3">
      <c r="A73" t="s">
        <v>1075</v>
      </c>
      <c r="B73" t="s">
        <v>1569</v>
      </c>
      <c r="C73">
        <f t="shared" si="2"/>
        <v>23.6996775</v>
      </c>
      <c r="D73">
        <f t="shared" si="3"/>
        <v>90.472244722222229</v>
      </c>
    </row>
    <row r="74" spans="1:4" x14ac:dyDescent="0.3">
      <c r="A74" t="s">
        <v>1076</v>
      </c>
      <c r="B74" t="s">
        <v>1570</v>
      </c>
      <c r="C74">
        <f t="shared" si="2"/>
        <v>23.699837222222222</v>
      </c>
      <c r="D74">
        <f t="shared" si="3"/>
        <v>90.482044166666668</v>
      </c>
    </row>
    <row r="75" spans="1:4" x14ac:dyDescent="0.3">
      <c r="A75" t="s">
        <v>1077</v>
      </c>
      <c r="B75" t="s">
        <v>1571</v>
      </c>
      <c r="C75">
        <f t="shared" si="2"/>
        <v>23.699996388888888</v>
      </c>
      <c r="D75">
        <f t="shared" si="3"/>
        <v>90.491843888888894</v>
      </c>
    </row>
    <row r="76" spans="1:4" x14ac:dyDescent="0.3">
      <c r="A76" t="s">
        <v>1078</v>
      </c>
      <c r="B76" t="s">
        <v>1572</v>
      </c>
      <c r="C76">
        <f t="shared" si="2"/>
        <v>23.700154999999999</v>
      </c>
      <c r="D76">
        <f t="shared" si="3"/>
        <v>90.501643611111106</v>
      </c>
    </row>
    <row r="77" spans="1:4" x14ac:dyDescent="0.3">
      <c r="A77" t="s">
        <v>1079</v>
      </c>
      <c r="B77" t="s">
        <v>1573</v>
      </c>
      <c r="C77">
        <f t="shared" si="2"/>
        <v>23.700313055555554</v>
      </c>
      <c r="D77">
        <f t="shared" si="3"/>
        <v>90.511443611111105</v>
      </c>
    </row>
    <row r="78" spans="1:4" x14ac:dyDescent="0.3">
      <c r="A78" t="s">
        <v>1080</v>
      </c>
      <c r="B78" t="s">
        <v>1574</v>
      </c>
      <c r="C78">
        <f t="shared" si="2"/>
        <v>23.706397777777777</v>
      </c>
      <c r="D78">
        <f t="shared" si="3"/>
        <v>90.3348761111111</v>
      </c>
    </row>
    <row r="79" spans="1:4" x14ac:dyDescent="0.3">
      <c r="A79" t="s">
        <v>1081</v>
      </c>
      <c r="B79" t="s">
        <v>1575</v>
      </c>
      <c r="C79">
        <f t="shared" si="2"/>
        <v>23.706566388888888</v>
      </c>
      <c r="D79">
        <f t="shared" si="3"/>
        <v>90.344675277777768</v>
      </c>
    </row>
    <row r="80" spans="1:4" x14ac:dyDescent="0.3">
      <c r="A80" t="s">
        <v>1082</v>
      </c>
      <c r="B80" t="s">
        <v>1576</v>
      </c>
      <c r="C80">
        <f t="shared" si="2"/>
        <v>23.706734444444443</v>
      </c>
      <c r="D80">
        <f t="shared" si="3"/>
        <v>90.354474166666662</v>
      </c>
    </row>
    <row r="81" spans="1:4" x14ac:dyDescent="0.3">
      <c r="A81" t="s">
        <v>1083</v>
      </c>
      <c r="B81" t="s">
        <v>1577</v>
      </c>
      <c r="C81">
        <f t="shared" si="2"/>
        <v>23.706901666666667</v>
      </c>
      <c r="D81">
        <f t="shared" si="3"/>
        <v>90.364273611111102</v>
      </c>
    </row>
    <row r="82" spans="1:4" x14ac:dyDescent="0.3">
      <c r="A82" t="s">
        <v>1084</v>
      </c>
      <c r="B82" t="s">
        <v>1578</v>
      </c>
      <c r="C82">
        <f t="shared" si="2"/>
        <v>23.707068333333332</v>
      </c>
      <c r="D82">
        <f t="shared" si="3"/>
        <v>90.374072777777769</v>
      </c>
    </row>
    <row r="83" spans="1:4" x14ac:dyDescent="0.3">
      <c r="A83" t="s">
        <v>1085</v>
      </c>
      <c r="B83" t="s">
        <v>1579</v>
      </c>
      <c r="C83">
        <f t="shared" si="2"/>
        <v>23.707234444444445</v>
      </c>
      <c r="D83">
        <f t="shared" si="3"/>
        <v>90.383872222222223</v>
      </c>
    </row>
    <row r="84" spans="1:4" x14ac:dyDescent="0.3">
      <c r="A84" t="s">
        <v>1086</v>
      </c>
      <c r="B84" t="s">
        <v>1580</v>
      </c>
      <c r="C84">
        <f t="shared" si="2"/>
        <v>23.7074</v>
      </c>
      <c r="D84">
        <f t="shared" si="3"/>
        <v>90.393671666666677</v>
      </c>
    </row>
    <row r="85" spans="1:4" x14ac:dyDescent="0.3">
      <c r="A85" t="s">
        <v>1087</v>
      </c>
      <c r="B85" t="s">
        <v>1581</v>
      </c>
      <c r="C85">
        <f t="shared" si="2"/>
        <v>23.707564722222223</v>
      </c>
      <c r="D85">
        <f t="shared" si="3"/>
        <v>90.403471111111116</v>
      </c>
    </row>
    <row r="86" spans="1:4" x14ac:dyDescent="0.3">
      <c r="A86" t="s">
        <v>1088</v>
      </c>
      <c r="B86" t="s">
        <v>1582</v>
      </c>
      <c r="C86">
        <f t="shared" si="2"/>
        <v>23.707728888888887</v>
      </c>
      <c r="D86">
        <f t="shared" si="3"/>
        <v>90.413270833333343</v>
      </c>
    </row>
    <row r="87" spans="1:4" x14ac:dyDescent="0.3">
      <c r="A87" t="s">
        <v>1089</v>
      </c>
      <c r="B87" t="s">
        <v>1583</v>
      </c>
      <c r="C87">
        <f t="shared" si="2"/>
        <v>23.7078925</v>
      </c>
      <c r="D87">
        <f t="shared" si="3"/>
        <v>90.423070555555555</v>
      </c>
    </row>
    <row r="88" spans="1:4" x14ac:dyDescent="0.3">
      <c r="A88" t="s">
        <v>1090</v>
      </c>
      <c r="B88" t="s">
        <v>1584</v>
      </c>
      <c r="C88">
        <f t="shared" si="2"/>
        <v>23.708055555555553</v>
      </c>
      <c r="D88">
        <f t="shared" si="3"/>
        <v>90.432870555555567</v>
      </c>
    </row>
    <row r="89" spans="1:4" x14ac:dyDescent="0.3">
      <c r="A89" t="s">
        <v>1091</v>
      </c>
      <c r="B89" t="s">
        <v>1585</v>
      </c>
      <c r="C89">
        <f t="shared" si="2"/>
        <v>23.708218055555555</v>
      </c>
      <c r="D89">
        <f t="shared" si="3"/>
        <v>90.442670277777779</v>
      </c>
    </row>
    <row r="90" spans="1:4" x14ac:dyDescent="0.3">
      <c r="A90" t="s">
        <v>1092</v>
      </c>
      <c r="B90" t="s">
        <v>1586</v>
      </c>
      <c r="C90">
        <f t="shared" si="2"/>
        <v>23.708379722222222</v>
      </c>
      <c r="D90">
        <f t="shared" si="3"/>
        <v>90.452470277777778</v>
      </c>
    </row>
    <row r="91" spans="1:4" x14ac:dyDescent="0.3">
      <c r="A91" t="s">
        <v>1093</v>
      </c>
      <c r="B91" t="s">
        <v>1587</v>
      </c>
      <c r="C91">
        <f t="shared" si="2"/>
        <v>23.708540833333334</v>
      </c>
      <c r="D91">
        <f t="shared" si="3"/>
        <v>90.462270555555563</v>
      </c>
    </row>
    <row r="92" spans="1:4" x14ac:dyDescent="0.3">
      <c r="A92" t="s">
        <v>1094</v>
      </c>
      <c r="B92" t="s">
        <v>1588</v>
      </c>
      <c r="C92">
        <f t="shared" si="2"/>
        <v>23.708701388888887</v>
      </c>
      <c r="D92">
        <f t="shared" si="3"/>
        <v>90.472070555555561</v>
      </c>
    </row>
    <row r="93" spans="1:4" x14ac:dyDescent="0.3">
      <c r="A93" t="s">
        <v>1095</v>
      </c>
      <c r="B93" t="s">
        <v>1589</v>
      </c>
      <c r="C93">
        <f t="shared" si="2"/>
        <v>23.708861111111112</v>
      </c>
      <c r="D93">
        <f t="shared" si="3"/>
        <v>90.481870833333332</v>
      </c>
    </row>
    <row r="94" spans="1:4" x14ac:dyDescent="0.3">
      <c r="A94" t="s">
        <v>1096</v>
      </c>
      <c r="B94" t="s">
        <v>1590</v>
      </c>
      <c r="C94">
        <f t="shared" si="2"/>
        <v>23.709020555555554</v>
      </c>
      <c r="D94">
        <f t="shared" si="3"/>
        <v>90.491671388888889</v>
      </c>
    </row>
    <row r="95" spans="1:4" x14ac:dyDescent="0.3">
      <c r="A95" t="s">
        <v>1097</v>
      </c>
      <c r="B95" t="s">
        <v>1591</v>
      </c>
      <c r="C95">
        <f t="shared" si="2"/>
        <v>23.709179166666665</v>
      </c>
      <c r="D95">
        <f t="shared" si="3"/>
        <v>90.50147166666666</v>
      </c>
    </row>
    <row r="96" spans="1:4" x14ac:dyDescent="0.3">
      <c r="A96" t="s">
        <v>1098</v>
      </c>
      <c r="B96" t="s">
        <v>1592</v>
      </c>
      <c r="C96">
        <f t="shared" si="2"/>
        <v>23.709337222222221</v>
      </c>
      <c r="D96">
        <f t="shared" si="3"/>
        <v>90.511272222222217</v>
      </c>
    </row>
    <row r="97" spans="1:4" x14ac:dyDescent="0.3">
      <c r="A97" t="s">
        <v>1099</v>
      </c>
      <c r="B97" t="s">
        <v>1593</v>
      </c>
      <c r="C97">
        <f t="shared" si="2"/>
        <v>23.715420833333333</v>
      </c>
      <c r="D97">
        <f t="shared" si="3"/>
        <v>90.334692777777775</v>
      </c>
    </row>
    <row r="98" spans="1:4" x14ac:dyDescent="0.3">
      <c r="A98" t="s">
        <v>1100</v>
      </c>
      <c r="B98" t="s">
        <v>1594</v>
      </c>
      <c r="C98">
        <f t="shared" si="2"/>
        <v>23.715589444444444</v>
      </c>
      <c r="D98">
        <f t="shared" si="3"/>
        <v>90.344492500000001</v>
      </c>
    </row>
    <row r="99" spans="1:4" x14ac:dyDescent="0.3">
      <c r="A99" t="s">
        <v>1101</v>
      </c>
      <c r="B99" t="s">
        <v>1595</v>
      </c>
      <c r="C99">
        <f t="shared" si="2"/>
        <v>23.715757222222223</v>
      </c>
      <c r="D99">
        <f t="shared" si="3"/>
        <v>90.354292222222213</v>
      </c>
    </row>
    <row r="100" spans="1:4" x14ac:dyDescent="0.3">
      <c r="A100" t="s">
        <v>1102</v>
      </c>
      <c r="B100" t="s">
        <v>1596</v>
      </c>
      <c r="C100">
        <f t="shared" si="2"/>
        <v>23.715924722222223</v>
      </c>
      <c r="D100">
        <f t="shared" si="3"/>
        <v>90.364092222222212</v>
      </c>
    </row>
    <row r="101" spans="1:4" x14ac:dyDescent="0.3">
      <c r="A101" t="s">
        <v>1103</v>
      </c>
      <c r="B101" t="s">
        <v>1597</v>
      </c>
      <c r="C101">
        <f t="shared" si="2"/>
        <v>23.716091388888888</v>
      </c>
      <c r="D101">
        <f t="shared" si="3"/>
        <v>90.373891944444438</v>
      </c>
    </row>
    <row r="102" spans="1:4" x14ac:dyDescent="0.3">
      <c r="A102" t="s">
        <v>1104</v>
      </c>
      <c r="B102" t="s">
        <v>1598</v>
      </c>
      <c r="C102">
        <f t="shared" si="2"/>
        <v>23.716257777777777</v>
      </c>
      <c r="D102">
        <f t="shared" si="3"/>
        <v>90.383692222222223</v>
      </c>
    </row>
    <row r="103" spans="1:4" x14ac:dyDescent="0.3">
      <c r="A103" t="s">
        <v>1105</v>
      </c>
      <c r="B103" t="s">
        <v>1599</v>
      </c>
      <c r="C103">
        <f t="shared" si="2"/>
        <v>23.716423055555556</v>
      </c>
      <c r="D103">
        <f t="shared" si="3"/>
        <v>90.393492222222235</v>
      </c>
    </row>
    <row r="104" spans="1:4" x14ac:dyDescent="0.3">
      <c r="A104" t="s">
        <v>1106</v>
      </c>
      <c r="B104" t="s">
        <v>1600</v>
      </c>
      <c r="C104">
        <f t="shared" si="2"/>
        <v>23.716588055555555</v>
      </c>
      <c r="D104">
        <f t="shared" si="3"/>
        <v>90.403292500000006</v>
      </c>
    </row>
    <row r="105" spans="1:4" x14ac:dyDescent="0.3">
      <c r="A105" t="s">
        <v>1107</v>
      </c>
      <c r="B105" t="s">
        <v>1601</v>
      </c>
      <c r="C105">
        <f t="shared" si="2"/>
        <v>23.716752499999998</v>
      </c>
      <c r="D105">
        <f t="shared" si="3"/>
        <v>90.413092777777777</v>
      </c>
    </row>
    <row r="106" spans="1:4" x14ac:dyDescent="0.3">
      <c r="A106" t="s">
        <v>1108</v>
      </c>
      <c r="B106" t="s">
        <v>1602</v>
      </c>
      <c r="C106">
        <f t="shared" si="2"/>
        <v>23.716916111111111</v>
      </c>
      <c r="D106">
        <f t="shared" si="3"/>
        <v>90.422893333333334</v>
      </c>
    </row>
    <row r="107" spans="1:4" x14ac:dyDescent="0.3">
      <c r="A107" t="s">
        <v>1109</v>
      </c>
      <c r="B107" t="s">
        <v>1603</v>
      </c>
      <c r="C107">
        <f t="shared" si="2"/>
        <v>23.717079166666664</v>
      </c>
      <c r="D107">
        <f t="shared" si="3"/>
        <v>90.432693888888892</v>
      </c>
    </row>
    <row r="108" spans="1:4" x14ac:dyDescent="0.3">
      <c r="A108" t="s">
        <v>1110</v>
      </c>
      <c r="B108" t="s">
        <v>1604</v>
      </c>
      <c r="C108">
        <f t="shared" si="2"/>
        <v>23.717241388888887</v>
      </c>
      <c r="D108">
        <f t="shared" si="3"/>
        <v>90.442494444444449</v>
      </c>
    </row>
    <row r="109" spans="1:4" x14ac:dyDescent="0.3">
      <c r="A109" t="s">
        <v>1111</v>
      </c>
      <c r="B109" t="s">
        <v>1605</v>
      </c>
      <c r="C109">
        <f t="shared" si="2"/>
        <v>23.717403333333333</v>
      </c>
      <c r="D109">
        <f t="shared" si="3"/>
        <v>90.452295000000007</v>
      </c>
    </row>
    <row r="110" spans="1:4" x14ac:dyDescent="0.3">
      <c r="A110" t="s">
        <v>1112</v>
      </c>
      <c r="B110" t="s">
        <v>1606</v>
      </c>
      <c r="C110">
        <f t="shared" si="2"/>
        <v>23.717564444444442</v>
      </c>
      <c r="D110">
        <f t="shared" si="3"/>
        <v>90.462095833333336</v>
      </c>
    </row>
    <row r="111" spans="1:4" x14ac:dyDescent="0.3">
      <c r="A111" t="s">
        <v>1113</v>
      </c>
      <c r="B111" t="s">
        <v>1607</v>
      </c>
      <c r="C111">
        <f t="shared" si="2"/>
        <v>23.717724999999998</v>
      </c>
      <c r="D111">
        <f t="shared" si="3"/>
        <v>90.471896666666666</v>
      </c>
    </row>
    <row r="112" spans="1:4" x14ac:dyDescent="0.3">
      <c r="A112" t="s">
        <v>1114</v>
      </c>
      <c r="B112" t="s">
        <v>1608</v>
      </c>
      <c r="C112">
        <f t="shared" si="2"/>
        <v>23.717884999999999</v>
      </c>
      <c r="D112">
        <f t="shared" si="3"/>
        <v>90.481697499999996</v>
      </c>
    </row>
    <row r="113" spans="1:4" x14ac:dyDescent="0.3">
      <c r="A113" t="s">
        <v>1115</v>
      </c>
      <c r="B113" t="s">
        <v>1609</v>
      </c>
      <c r="C113">
        <f t="shared" si="2"/>
        <v>23.718044444444441</v>
      </c>
      <c r="D113">
        <f t="shared" si="3"/>
        <v>90.491498611111112</v>
      </c>
    </row>
    <row r="114" spans="1:4" x14ac:dyDescent="0.3">
      <c r="A114" t="s">
        <v>1116</v>
      </c>
      <c r="B114" t="s">
        <v>1610</v>
      </c>
      <c r="C114">
        <f t="shared" si="2"/>
        <v>23.718203055555556</v>
      </c>
      <c r="D114">
        <f t="shared" si="3"/>
        <v>90.501299722222228</v>
      </c>
    </row>
    <row r="115" spans="1:4" x14ac:dyDescent="0.3">
      <c r="A115" t="s">
        <v>1117</v>
      </c>
      <c r="B115" t="s">
        <v>1611</v>
      </c>
      <c r="C115">
        <f t="shared" si="2"/>
        <v>23.718361111111111</v>
      </c>
      <c r="D115">
        <f t="shared" si="3"/>
        <v>90.51110083333333</v>
      </c>
    </row>
    <row r="116" spans="1:4" x14ac:dyDescent="0.3">
      <c r="A116" t="s">
        <v>1118</v>
      </c>
      <c r="B116" t="s">
        <v>1612</v>
      </c>
      <c r="C116">
        <f t="shared" si="2"/>
        <v>23.724443611111109</v>
      </c>
      <c r="D116">
        <f t="shared" si="3"/>
        <v>90.334509166666663</v>
      </c>
    </row>
    <row r="117" spans="1:4" x14ac:dyDescent="0.3">
      <c r="A117" t="s">
        <v>1119</v>
      </c>
      <c r="B117" t="s">
        <v>1613</v>
      </c>
      <c r="C117">
        <f t="shared" si="2"/>
        <v>23.72461222222222</v>
      </c>
      <c r="D117">
        <f t="shared" si="3"/>
        <v>90.344309444444434</v>
      </c>
    </row>
    <row r="118" spans="1:4" x14ac:dyDescent="0.3">
      <c r="A118" t="s">
        <v>1120</v>
      </c>
      <c r="B118" t="s">
        <v>1614</v>
      </c>
      <c r="C118">
        <f t="shared" si="2"/>
        <v>23.724780277777775</v>
      </c>
      <c r="D118">
        <f t="shared" si="3"/>
        <v>90.354109999999991</v>
      </c>
    </row>
    <row r="119" spans="1:4" x14ac:dyDescent="0.3">
      <c r="A119" t="s">
        <v>1121</v>
      </c>
      <c r="B119" t="s">
        <v>1615</v>
      </c>
      <c r="C119">
        <f t="shared" si="2"/>
        <v>23.724947777777775</v>
      </c>
      <c r="D119">
        <f t="shared" si="3"/>
        <v>90.363910555555549</v>
      </c>
    </row>
    <row r="120" spans="1:4" x14ac:dyDescent="0.3">
      <c r="A120" t="s">
        <v>1122</v>
      </c>
      <c r="B120" t="s">
        <v>1616</v>
      </c>
      <c r="C120">
        <f t="shared" si="2"/>
        <v>23.725114722222219</v>
      </c>
      <c r="D120">
        <f t="shared" si="3"/>
        <v>90.373711111111106</v>
      </c>
    </row>
    <row r="121" spans="1:4" x14ac:dyDescent="0.3">
      <c r="A121" t="s">
        <v>1123</v>
      </c>
      <c r="B121" t="s">
        <v>1617</v>
      </c>
      <c r="C121">
        <f t="shared" si="2"/>
        <v>23.725280833333333</v>
      </c>
      <c r="D121">
        <f t="shared" si="3"/>
        <v>90.38351194444445</v>
      </c>
    </row>
    <row r="122" spans="1:4" x14ac:dyDescent="0.3">
      <c r="A122" t="s">
        <v>1124</v>
      </c>
      <c r="B122" t="s">
        <v>1618</v>
      </c>
      <c r="C122">
        <f t="shared" si="2"/>
        <v>23.725446388888887</v>
      </c>
      <c r="D122">
        <f t="shared" si="3"/>
        <v>90.39331277777778</v>
      </c>
    </row>
    <row r="123" spans="1:4" x14ac:dyDescent="0.3">
      <c r="A123" t="s">
        <v>1125</v>
      </c>
      <c r="B123" t="s">
        <v>1619</v>
      </c>
      <c r="C123">
        <f t="shared" si="2"/>
        <v>23.725611388888886</v>
      </c>
      <c r="D123">
        <f t="shared" si="3"/>
        <v>90.403113611111124</v>
      </c>
    </row>
    <row r="124" spans="1:4" x14ac:dyDescent="0.3">
      <c r="A124" t="s">
        <v>1126</v>
      </c>
      <c r="B124" t="s">
        <v>1620</v>
      </c>
      <c r="C124">
        <f t="shared" si="2"/>
        <v>23.72577583333333</v>
      </c>
      <c r="D124">
        <f t="shared" si="3"/>
        <v>90.412914722222226</v>
      </c>
    </row>
    <row r="125" spans="1:4" x14ac:dyDescent="0.3">
      <c r="A125" t="s">
        <v>1127</v>
      </c>
      <c r="B125" t="s">
        <v>1621</v>
      </c>
      <c r="C125">
        <f t="shared" si="2"/>
        <v>23.725939444444442</v>
      </c>
      <c r="D125">
        <f t="shared" si="3"/>
        <v>90.422715833333342</v>
      </c>
    </row>
    <row r="126" spans="1:4" x14ac:dyDescent="0.3">
      <c r="A126" t="s">
        <v>1128</v>
      </c>
      <c r="B126" t="s">
        <v>1622</v>
      </c>
      <c r="C126">
        <f t="shared" si="2"/>
        <v>23.7261025</v>
      </c>
      <c r="D126">
        <f t="shared" si="3"/>
        <v>90.432516944444444</v>
      </c>
    </row>
    <row r="127" spans="1:4" x14ac:dyDescent="0.3">
      <c r="A127" t="s">
        <v>1129</v>
      </c>
      <c r="B127" t="s">
        <v>1623</v>
      </c>
      <c r="C127">
        <f t="shared" si="2"/>
        <v>23.726264999999998</v>
      </c>
      <c r="D127">
        <f t="shared" si="3"/>
        <v>90.442318333333333</v>
      </c>
    </row>
    <row r="128" spans="1:4" x14ac:dyDescent="0.3">
      <c r="A128" t="s">
        <v>1130</v>
      </c>
      <c r="B128" t="s">
        <v>1624</v>
      </c>
      <c r="C128">
        <f t="shared" si="2"/>
        <v>23.726426944444444</v>
      </c>
      <c r="D128">
        <f t="shared" si="3"/>
        <v>90.452119722222221</v>
      </c>
    </row>
    <row r="129" spans="1:4" x14ac:dyDescent="0.3">
      <c r="A129" t="s">
        <v>1131</v>
      </c>
      <c r="B129" t="s">
        <v>1625</v>
      </c>
      <c r="C129">
        <f t="shared" si="2"/>
        <v>23.726588333333332</v>
      </c>
      <c r="D129">
        <f t="shared" si="3"/>
        <v>90.46192111111111</v>
      </c>
    </row>
    <row r="130" spans="1:4" x14ac:dyDescent="0.3">
      <c r="A130" t="s">
        <v>1132</v>
      </c>
      <c r="B130" t="s">
        <v>1626</v>
      </c>
      <c r="C130">
        <f t="shared" si="2"/>
        <v>23.726748888888888</v>
      </c>
      <c r="D130">
        <f t="shared" si="3"/>
        <v>90.471722499999998</v>
      </c>
    </row>
    <row r="131" spans="1:4" x14ac:dyDescent="0.3">
      <c r="A131" t="s">
        <v>1133</v>
      </c>
      <c r="B131" t="s">
        <v>1627</v>
      </c>
      <c r="C131">
        <f t="shared" ref="C131:C194" si="4">DecimalDegreesConverter(A131,,,,TRUE)</f>
        <v>23.726908888888886</v>
      </c>
      <c r="D131">
        <f t="shared" ref="D131:D194" si="5">DecimalDegreesConverter(B131,,,,TRUE)</f>
        <v>90.481524166666674</v>
      </c>
    </row>
    <row r="132" spans="1:4" x14ac:dyDescent="0.3">
      <c r="A132" t="s">
        <v>1134</v>
      </c>
      <c r="B132" t="s">
        <v>1628</v>
      </c>
      <c r="C132">
        <f t="shared" si="4"/>
        <v>23.727068333333332</v>
      </c>
      <c r="D132">
        <f t="shared" si="5"/>
        <v>90.491325833333335</v>
      </c>
    </row>
    <row r="133" spans="1:4" x14ac:dyDescent="0.3">
      <c r="A133" t="s">
        <v>1135</v>
      </c>
      <c r="B133" t="s">
        <v>1629</v>
      </c>
      <c r="C133">
        <f t="shared" si="4"/>
        <v>23.727226944444443</v>
      </c>
      <c r="D133">
        <f t="shared" si="5"/>
        <v>90.501127777777782</v>
      </c>
    </row>
    <row r="134" spans="1:4" x14ac:dyDescent="0.3">
      <c r="A134" t="s">
        <v>1136</v>
      </c>
      <c r="B134" t="s">
        <v>1630</v>
      </c>
      <c r="C134">
        <f t="shared" si="4"/>
        <v>23.727385277777778</v>
      </c>
      <c r="D134">
        <f t="shared" si="5"/>
        <v>90.510929444444443</v>
      </c>
    </row>
    <row r="135" spans="1:4" x14ac:dyDescent="0.3">
      <c r="A135" t="s">
        <v>1137</v>
      </c>
      <c r="B135" t="s">
        <v>1631</v>
      </c>
      <c r="C135">
        <f t="shared" si="4"/>
        <v>23.733466388888889</v>
      </c>
      <c r="D135">
        <f t="shared" si="5"/>
        <v>90.334325555555552</v>
      </c>
    </row>
    <row r="136" spans="1:4" x14ac:dyDescent="0.3">
      <c r="A136" t="s">
        <v>1138</v>
      </c>
      <c r="B136" t="s">
        <v>1632</v>
      </c>
      <c r="C136">
        <f t="shared" si="4"/>
        <v>23.733635</v>
      </c>
      <c r="D136">
        <f t="shared" si="5"/>
        <v>90.344126666666668</v>
      </c>
    </row>
    <row r="137" spans="1:4" x14ac:dyDescent="0.3">
      <c r="A137" t="s">
        <v>1139</v>
      </c>
      <c r="B137" t="s">
        <v>1633</v>
      </c>
      <c r="C137">
        <f t="shared" si="4"/>
        <v>23.733803333333334</v>
      </c>
      <c r="D137">
        <f t="shared" si="5"/>
        <v>90.35392777777777</v>
      </c>
    </row>
    <row r="138" spans="1:4" x14ac:dyDescent="0.3">
      <c r="A138" t="s">
        <v>1140</v>
      </c>
      <c r="B138" t="s">
        <v>1634</v>
      </c>
      <c r="C138">
        <f t="shared" si="4"/>
        <v>23.733970833333334</v>
      </c>
      <c r="D138">
        <f t="shared" si="5"/>
        <v>90.363728888888886</v>
      </c>
    </row>
    <row r="139" spans="1:4" x14ac:dyDescent="0.3">
      <c r="A139" t="s">
        <v>1141</v>
      </c>
      <c r="B139" t="s">
        <v>1635</v>
      </c>
      <c r="C139">
        <f t="shared" si="4"/>
        <v>23.734137777777779</v>
      </c>
      <c r="D139">
        <f t="shared" si="5"/>
        <v>90.373530277777775</v>
      </c>
    </row>
    <row r="140" spans="1:4" x14ac:dyDescent="0.3">
      <c r="A140" t="s">
        <v>1142</v>
      </c>
      <c r="B140" t="s">
        <v>1636</v>
      </c>
      <c r="C140">
        <f t="shared" si="4"/>
        <v>23.734303888888888</v>
      </c>
      <c r="D140">
        <f t="shared" si="5"/>
        <v>90.38333333333334</v>
      </c>
    </row>
    <row r="141" spans="1:4" x14ac:dyDescent="0.3">
      <c r="A141" t="s">
        <v>1143</v>
      </c>
      <c r="B141" t="s">
        <v>1637</v>
      </c>
      <c r="C141">
        <f t="shared" si="4"/>
        <v>23.734469722222222</v>
      </c>
      <c r="D141">
        <f t="shared" si="5"/>
        <v>90.393133333333338</v>
      </c>
    </row>
    <row r="142" spans="1:4" x14ac:dyDescent="0.3">
      <c r="A142" t="s">
        <v>1144</v>
      </c>
      <c r="B142" t="s">
        <v>1638</v>
      </c>
      <c r="C142">
        <f t="shared" si="4"/>
        <v>23.734634722222225</v>
      </c>
      <c r="D142">
        <f t="shared" si="5"/>
        <v>90.402934722222227</v>
      </c>
    </row>
    <row r="143" spans="1:4" x14ac:dyDescent="0.3">
      <c r="A143" t="s">
        <v>1145</v>
      </c>
      <c r="B143" t="s">
        <v>1639</v>
      </c>
      <c r="C143">
        <f t="shared" si="4"/>
        <v>23.734799166666669</v>
      </c>
      <c r="D143">
        <f t="shared" si="5"/>
        <v>90.412736388888888</v>
      </c>
    </row>
    <row r="144" spans="1:4" x14ac:dyDescent="0.3">
      <c r="A144" t="s">
        <v>1146</v>
      </c>
      <c r="B144" t="s">
        <v>1640</v>
      </c>
      <c r="C144">
        <f t="shared" si="4"/>
        <v>23.734962777777778</v>
      </c>
      <c r="D144">
        <f t="shared" si="5"/>
        <v>90.422538333333335</v>
      </c>
    </row>
    <row r="145" spans="1:4" x14ac:dyDescent="0.3">
      <c r="A145" t="s">
        <v>1147</v>
      </c>
      <c r="B145" t="s">
        <v>1641</v>
      </c>
      <c r="C145">
        <f t="shared" si="4"/>
        <v>23.735126111111111</v>
      </c>
      <c r="D145">
        <f t="shared" si="5"/>
        <v>90.432340000000011</v>
      </c>
    </row>
    <row r="146" spans="1:4" x14ac:dyDescent="0.3">
      <c r="A146" t="s">
        <v>1148</v>
      </c>
      <c r="B146" t="s">
        <v>1642</v>
      </c>
      <c r="C146">
        <f t="shared" si="4"/>
        <v>23.735288611111113</v>
      </c>
      <c r="D146">
        <f t="shared" si="5"/>
        <v>90.442141944444444</v>
      </c>
    </row>
    <row r="147" spans="1:4" x14ac:dyDescent="0.3">
      <c r="A147" t="s">
        <v>1149</v>
      </c>
      <c r="B147" t="s">
        <v>1643</v>
      </c>
      <c r="C147">
        <f t="shared" si="4"/>
        <v>23.735450555555555</v>
      </c>
      <c r="D147">
        <f t="shared" si="5"/>
        <v>90.451944166666664</v>
      </c>
    </row>
    <row r="148" spans="1:4" x14ac:dyDescent="0.3">
      <c r="A148" t="s">
        <v>1150</v>
      </c>
      <c r="B148" t="s">
        <v>1644</v>
      </c>
      <c r="C148">
        <f t="shared" si="4"/>
        <v>23.735611944444447</v>
      </c>
      <c r="D148">
        <f t="shared" si="5"/>
        <v>90.461746111111111</v>
      </c>
    </row>
    <row r="149" spans="1:4" x14ac:dyDescent="0.3">
      <c r="A149" t="s">
        <v>1151</v>
      </c>
      <c r="B149" t="s">
        <v>1645</v>
      </c>
      <c r="C149">
        <f t="shared" si="4"/>
        <v>23.735772499999999</v>
      </c>
      <c r="D149">
        <f t="shared" si="5"/>
        <v>90.471548333333331</v>
      </c>
    </row>
    <row r="150" spans="1:4" x14ac:dyDescent="0.3">
      <c r="A150" t="s">
        <v>1152</v>
      </c>
      <c r="B150" t="s">
        <v>1646</v>
      </c>
      <c r="C150">
        <f t="shared" si="4"/>
        <v>23.73593277777778</v>
      </c>
      <c r="D150">
        <f t="shared" si="5"/>
        <v>90.481350555555551</v>
      </c>
    </row>
    <row r="151" spans="1:4" x14ac:dyDescent="0.3">
      <c r="A151" t="s">
        <v>1153</v>
      </c>
      <c r="B151" t="s">
        <v>1647</v>
      </c>
      <c r="C151">
        <f t="shared" si="4"/>
        <v>23.736092222222222</v>
      </c>
      <c r="D151">
        <f t="shared" si="5"/>
        <v>90.491153055555557</v>
      </c>
    </row>
    <row r="152" spans="1:4" x14ac:dyDescent="0.3">
      <c r="A152" t="s">
        <v>1154</v>
      </c>
      <c r="B152" t="s">
        <v>1648</v>
      </c>
      <c r="C152">
        <f t="shared" si="4"/>
        <v>23.736251111111113</v>
      </c>
      <c r="D152">
        <f t="shared" si="5"/>
        <v>90.500955555555549</v>
      </c>
    </row>
    <row r="153" spans="1:4" x14ac:dyDescent="0.3">
      <c r="A153" t="s">
        <v>1155</v>
      </c>
      <c r="B153" t="s">
        <v>1649</v>
      </c>
      <c r="C153">
        <f t="shared" si="4"/>
        <v>23.736409166666668</v>
      </c>
      <c r="D153">
        <f t="shared" si="5"/>
        <v>90.510758055555556</v>
      </c>
    </row>
    <row r="154" spans="1:4" x14ac:dyDescent="0.3">
      <c r="A154" t="s">
        <v>1156</v>
      </c>
      <c r="B154" t="s">
        <v>1650</v>
      </c>
      <c r="C154">
        <f t="shared" si="4"/>
        <v>23.742489166666669</v>
      </c>
      <c r="D154">
        <f t="shared" si="5"/>
        <v>90.33414194444444</v>
      </c>
    </row>
    <row r="155" spans="1:4" x14ac:dyDescent="0.3">
      <c r="A155" t="s">
        <v>1157</v>
      </c>
      <c r="B155" t="s">
        <v>1651</v>
      </c>
      <c r="C155">
        <f t="shared" si="4"/>
        <v>23.742658055555555</v>
      </c>
      <c r="D155">
        <f t="shared" si="5"/>
        <v>90.343943611111101</v>
      </c>
    </row>
    <row r="156" spans="1:4" x14ac:dyDescent="0.3">
      <c r="A156" t="s">
        <v>1158</v>
      </c>
      <c r="B156" t="s">
        <v>1652</v>
      </c>
      <c r="C156">
        <f t="shared" si="4"/>
        <v>23.742826111111111</v>
      </c>
      <c r="D156">
        <f t="shared" si="5"/>
        <v>90.353745277777776</v>
      </c>
    </row>
    <row r="157" spans="1:4" x14ac:dyDescent="0.3">
      <c r="A157" t="s">
        <v>1159</v>
      </c>
      <c r="B157" t="s">
        <v>1653</v>
      </c>
      <c r="C157">
        <f t="shared" si="4"/>
        <v>23.74299361111111</v>
      </c>
      <c r="D157">
        <f t="shared" si="5"/>
        <v>90.363547222222223</v>
      </c>
    </row>
    <row r="158" spans="1:4" x14ac:dyDescent="0.3">
      <c r="A158" t="s">
        <v>1160</v>
      </c>
      <c r="B158" t="s">
        <v>1654</v>
      </c>
      <c r="C158">
        <f t="shared" si="4"/>
        <v>23.743160833333334</v>
      </c>
      <c r="D158">
        <f t="shared" si="5"/>
        <v>90.373349166666657</v>
      </c>
    </row>
    <row r="159" spans="1:4" x14ac:dyDescent="0.3">
      <c r="A159" t="s">
        <v>1161</v>
      </c>
      <c r="B159" t="s">
        <v>1655</v>
      </c>
      <c r="C159">
        <f t="shared" si="4"/>
        <v>23.743326944444444</v>
      </c>
      <c r="D159">
        <f t="shared" si="5"/>
        <v>90.383151388888876</v>
      </c>
    </row>
    <row r="160" spans="1:4" x14ac:dyDescent="0.3">
      <c r="A160" t="s">
        <v>1162</v>
      </c>
      <c r="B160" t="s">
        <v>1656</v>
      </c>
      <c r="C160">
        <f t="shared" si="4"/>
        <v>23.743492777777778</v>
      </c>
      <c r="D160">
        <f t="shared" si="5"/>
        <v>90.392953611111125</v>
      </c>
    </row>
    <row r="161" spans="1:4" x14ac:dyDescent="0.3">
      <c r="A161" t="s">
        <v>1163</v>
      </c>
      <c r="B161" t="s">
        <v>1657</v>
      </c>
      <c r="C161">
        <f t="shared" si="4"/>
        <v>23.743658055555557</v>
      </c>
      <c r="D161">
        <f t="shared" si="5"/>
        <v>90.402755833333345</v>
      </c>
    </row>
    <row r="162" spans="1:4" x14ac:dyDescent="0.3">
      <c r="A162" t="s">
        <v>1164</v>
      </c>
      <c r="B162" t="s">
        <v>1658</v>
      </c>
      <c r="C162">
        <f t="shared" si="4"/>
        <v>23.7438225</v>
      </c>
      <c r="D162">
        <f t="shared" si="5"/>
        <v>90.412558055555564</v>
      </c>
    </row>
    <row r="163" spans="1:4" x14ac:dyDescent="0.3">
      <c r="A163" t="s">
        <v>1165</v>
      </c>
      <c r="B163" t="s">
        <v>1659</v>
      </c>
      <c r="C163">
        <f t="shared" si="4"/>
        <v>23.743986388888889</v>
      </c>
      <c r="D163">
        <f t="shared" si="5"/>
        <v>90.422360555555557</v>
      </c>
    </row>
    <row r="164" spans="1:4" x14ac:dyDescent="0.3">
      <c r="A164" t="s">
        <v>1166</v>
      </c>
      <c r="B164" t="s">
        <v>1660</v>
      </c>
      <c r="C164">
        <f t="shared" si="4"/>
        <v>23.744149444444446</v>
      </c>
      <c r="D164">
        <f t="shared" si="5"/>
        <v>90.432163055555563</v>
      </c>
    </row>
    <row r="165" spans="1:4" x14ac:dyDescent="0.3">
      <c r="A165" t="s">
        <v>1167</v>
      </c>
      <c r="B165" t="s">
        <v>1661</v>
      </c>
      <c r="C165">
        <f t="shared" si="4"/>
        <v>23.744312222222224</v>
      </c>
      <c r="D165">
        <f t="shared" si="5"/>
        <v>90.441965833333342</v>
      </c>
    </row>
    <row r="166" spans="1:4" x14ac:dyDescent="0.3">
      <c r="A166" t="s">
        <v>1168</v>
      </c>
      <c r="B166" t="s">
        <v>1662</v>
      </c>
      <c r="C166">
        <f t="shared" si="4"/>
        <v>23.744474166666667</v>
      </c>
      <c r="D166">
        <f t="shared" si="5"/>
        <v>90.451768333333334</v>
      </c>
    </row>
    <row r="167" spans="1:4" x14ac:dyDescent="0.3">
      <c r="A167" t="s">
        <v>1169</v>
      </c>
      <c r="B167" t="s">
        <v>1663</v>
      </c>
      <c r="C167">
        <f t="shared" si="4"/>
        <v>23.744635555555558</v>
      </c>
      <c r="D167">
        <f t="shared" si="5"/>
        <v>90.461571111111112</v>
      </c>
    </row>
    <row r="168" spans="1:4" x14ac:dyDescent="0.3">
      <c r="A168" t="s">
        <v>1170</v>
      </c>
      <c r="B168" t="s">
        <v>1664</v>
      </c>
      <c r="C168">
        <f t="shared" si="4"/>
        <v>23.74479638888889</v>
      </c>
      <c r="D168">
        <f t="shared" si="5"/>
        <v>90.471374166666664</v>
      </c>
    </row>
    <row r="169" spans="1:4" x14ac:dyDescent="0.3">
      <c r="A169" t="s">
        <v>1171</v>
      </c>
      <c r="B169" t="s">
        <v>1665</v>
      </c>
      <c r="C169">
        <f t="shared" si="4"/>
        <v>23.744956666666667</v>
      </c>
      <c r="D169">
        <f t="shared" si="5"/>
        <v>90.481176944444442</v>
      </c>
    </row>
    <row r="170" spans="1:4" x14ac:dyDescent="0.3">
      <c r="A170" t="s">
        <v>1172</v>
      </c>
      <c r="B170" t="s">
        <v>1666</v>
      </c>
      <c r="C170">
        <f t="shared" si="4"/>
        <v>23.745116111111113</v>
      </c>
      <c r="D170">
        <f t="shared" si="5"/>
        <v>90.490980000000008</v>
      </c>
    </row>
    <row r="171" spans="1:4" x14ac:dyDescent="0.3">
      <c r="A171" t="s">
        <v>1173</v>
      </c>
      <c r="B171" t="s">
        <v>1667</v>
      </c>
      <c r="C171">
        <f t="shared" si="4"/>
        <v>23.745274999999999</v>
      </c>
      <c r="D171">
        <f t="shared" si="5"/>
        <v>90.500783333333331</v>
      </c>
    </row>
    <row r="172" spans="1:4" x14ac:dyDescent="0.3">
      <c r="A172" t="s">
        <v>1174</v>
      </c>
      <c r="B172" t="s">
        <v>1668</v>
      </c>
      <c r="C172">
        <f t="shared" si="4"/>
        <v>23.745433333333335</v>
      </c>
      <c r="D172">
        <f t="shared" si="5"/>
        <v>90.510586388888882</v>
      </c>
    </row>
    <row r="173" spans="1:4" x14ac:dyDescent="0.3">
      <c r="A173" t="s">
        <v>1175</v>
      </c>
      <c r="B173" t="s">
        <v>1669</v>
      </c>
      <c r="C173">
        <f t="shared" si="4"/>
        <v>23.751511944444445</v>
      </c>
      <c r="D173">
        <f t="shared" si="5"/>
        <v>90.333958055555556</v>
      </c>
    </row>
    <row r="174" spans="1:4" x14ac:dyDescent="0.3">
      <c r="A174" t="s">
        <v>1176</v>
      </c>
      <c r="B174" t="s">
        <v>1670</v>
      </c>
      <c r="C174">
        <f t="shared" si="4"/>
        <v>23.751680833333332</v>
      </c>
      <c r="D174">
        <f t="shared" si="5"/>
        <v>90.343760555555548</v>
      </c>
    </row>
    <row r="175" spans="1:4" x14ac:dyDescent="0.3">
      <c r="A175" t="s">
        <v>1177</v>
      </c>
      <c r="B175" t="s">
        <v>1671</v>
      </c>
      <c r="C175">
        <f t="shared" si="4"/>
        <v>23.751849166666666</v>
      </c>
      <c r="D175">
        <f t="shared" si="5"/>
        <v>90.353563055555554</v>
      </c>
    </row>
    <row r="176" spans="1:4" x14ac:dyDescent="0.3">
      <c r="A176" t="s">
        <v>1178</v>
      </c>
      <c r="B176" t="s">
        <v>1672</v>
      </c>
      <c r="C176">
        <f t="shared" si="4"/>
        <v>23.752016666666666</v>
      </c>
      <c r="D176">
        <f t="shared" si="5"/>
        <v>90.363365555555546</v>
      </c>
    </row>
    <row r="177" spans="1:4" x14ac:dyDescent="0.3">
      <c r="A177" t="s">
        <v>1179</v>
      </c>
      <c r="B177" t="s">
        <v>1673</v>
      </c>
      <c r="C177">
        <f t="shared" si="4"/>
        <v>23.75218388888889</v>
      </c>
      <c r="D177">
        <f t="shared" si="5"/>
        <v>90.373168055555553</v>
      </c>
    </row>
    <row r="178" spans="1:4" x14ac:dyDescent="0.3">
      <c r="A178" t="s">
        <v>1180</v>
      </c>
      <c r="B178" t="s">
        <v>1674</v>
      </c>
      <c r="C178">
        <f t="shared" si="4"/>
        <v>23.752350277777779</v>
      </c>
      <c r="D178">
        <f t="shared" si="5"/>
        <v>90.382970833333331</v>
      </c>
    </row>
    <row r="179" spans="1:4" x14ac:dyDescent="0.3">
      <c r="A179" t="s">
        <v>1181</v>
      </c>
      <c r="B179" t="s">
        <v>1675</v>
      </c>
      <c r="C179">
        <f t="shared" si="4"/>
        <v>23.75251611111111</v>
      </c>
      <c r="D179">
        <f t="shared" si="5"/>
        <v>90.392773888888897</v>
      </c>
    </row>
    <row r="180" spans="1:4" x14ac:dyDescent="0.3">
      <c r="A180" t="s">
        <v>1182</v>
      </c>
      <c r="B180" t="s">
        <v>1676</v>
      </c>
      <c r="C180">
        <f t="shared" si="4"/>
        <v>23.752681111111112</v>
      </c>
      <c r="D180">
        <f t="shared" si="5"/>
        <v>90.402576666666675</v>
      </c>
    </row>
    <row r="181" spans="1:4" x14ac:dyDescent="0.3">
      <c r="A181" t="s">
        <v>1183</v>
      </c>
      <c r="B181" t="s">
        <v>1677</v>
      </c>
      <c r="C181">
        <f t="shared" si="4"/>
        <v>23.752845833333332</v>
      </c>
      <c r="D181">
        <f t="shared" si="5"/>
        <v>90.412379722222227</v>
      </c>
    </row>
    <row r="182" spans="1:4" x14ac:dyDescent="0.3">
      <c r="A182" t="s">
        <v>1184</v>
      </c>
      <c r="B182" t="s">
        <v>1678</v>
      </c>
      <c r="C182">
        <f t="shared" si="4"/>
        <v>23.753009722222224</v>
      </c>
      <c r="D182">
        <f t="shared" si="5"/>
        <v>90.422182777777778</v>
      </c>
    </row>
    <row r="183" spans="1:4" x14ac:dyDescent="0.3">
      <c r="A183" t="s">
        <v>1185</v>
      </c>
      <c r="B183" t="s">
        <v>1679</v>
      </c>
      <c r="C183">
        <f t="shared" si="4"/>
        <v>23.753173055555557</v>
      </c>
      <c r="D183">
        <f t="shared" si="5"/>
        <v>90.431986111111115</v>
      </c>
    </row>
    <row r="184" spans="1:4" x14ac:dyDescent="0.3">
      <c r="A184" t="s">
        <v>1186</v>
      </c>
      <c r="B184" t="s">
        <v>1680</v>
      </c>
      <c r="C184">
        <f t="shared" si="4"/>
        <v>23.753335833333335</v>
      </c>
      <c r="D184">
        <f t="shared" si="5"/>
        <v>90.441789444444453</v>
      </c>
    </row>
    <row r="185" spans="1:4" x14ac:dyDescent="0.3">
      <c r="A185" t="s">
        <v>1187</v>
      </c>
      <c r="B185" t="s">
        <v>1681</v>
      </c>
      <c r="C185">
        <f t="shared" si="4"/>
        <v>23.753497777777778</v>
      </c>
      <c r="D185">
        <f t="shared" si="5"/>
        <v>90.451592777777776</v>
      </c>
    </row>
    <row r="186" spans="1:4" x14ac:dyDescent="0.3">
      <c r="A186" t="s">
        <v>1188</v>
      </c>
      <c r="B186" t="s">
        <v>1682</v>
      </c>
      <c r="C186">
        <f t="shared" si="4"/>
        <v>23.753659166666665</v>
      </c>
      <c r="D186">
        <f t="shared" si="5"/>
        <v>90.461396111111114</v>
      </c>
    </row>
    <row r="187" spans="1:4" x14ac:dyDescent="0.3">
      <c r="A187" t="s">
        <v>1189</v>
      </c>
      <c r="B187" t="s">
        <v>1683</v>
      </c>
      <c r="C187">
        <f t="shared" si="4"/>
        <v>23.753820000000001</v>
      </c>
      <c r="D187">
        <f t="shared" si="5"/>
        <v>90.471199722222224</v>
      </c>
    </row>
    <row r="188" spans="1:4" x14ac:dyDescent="0.3">
      <c r="A188" t="s">
        <v>1190</v>
      </c>
      <c r="B188" t="s">
        <v>1684</v>
      </c>
      <c r="C188">
        <f t="shared" si="4"/>
        <v>23.753980277777778</v>
      </c>
      <c r="D188">
        <f t="shared" si="5"/>
        <v>90.481003333333334</v>
      </c>
    </row>
    <row r="189" spans="1:4" x14ac:dyDescent="0.3">
      <c r="A189" t="s">
        <v>1191</v>
      </c>
      <c r="B189" t="s">
        <v>1685</v>
      </c>
      <c r="C189">
        <f t="shared" si="4"/>
        <v>23.75414</v>
      </c>
      <c r="D189">
        <f t="shared" si="5"/>
        <v>90.49080722222223</v>
      </c>
    </row>
    <row r="190" spans="1:4" x14ac:dyDescent="0.3">
      <c r="A190" t="s">
        <v>1192</v>
      </c>
      <c r="B190" t="s">
        <v>1686</v>
      </c>
      <c r="C190">
        <f t="shared" si="4"/>
        <v>23.75429888888889</v>
      </c>
      <c r="D190">
        <f t="shared" si="5"/>
        <v>90.50061083333334</v>
      </c>
    </row>
    <row r="191" spans="1:4" x14ac:dyDescent="0.3">
      <c r="A191" t="s">
        <v>1193</v>
      </c>
      <c r="B191" t="s">
        <v>1687</v>
      </c>
      <c r="C191">
        <f t="shared" si="4"/>
        <v>23.754457222222221</v>
      </c>
      <c r="D191">
        <f t="shared" si="5"/>
        <v>90.510414722222222</v>
      </c>
    </row>
    <row r="192" spans="1:4" x14ac:dyDescent="0.3">
      <c r="A192" t="s">
        <v>1194</v>
      </c>
      <c r="B192" t="s">
        <v>1688</v>
      </c>
      <c r="C192">
        <f t="shared" si="4"/>
        <v>23.760534722222221</v>
      </c>
      <c r="D192">
        <f t="shared" si="5"/>
        <v>90.333774166666657</v>
      </c>
    </row>
    <row r="193" spans="1:4" x14ac:dyDescent="0.3">
      <c r="A193" t="s">
        <v>1195</v>
      </c>
      <c r="B193" t="s">
        <v>1689</v>
      </c>
      <c r="C193">
        <f t="shared" si="4"/>
        <v>23.760703611111111</v>
      </c>
      <c r="D193">
        <f t="shared" si="5"/>
        <v>90.343577222222223</v>
      </c>
    </row>
    <row r="194" spans="1:4" x14ac:dyDescent="0.3">
      <c r="A194" t="s">
        <v>1196</v>
      </c>
      <c r="B194" t="s">
        <v>1690</v>
      </c>
      <c r="C194">
        <f t="shared" si="4"/>
        <v>23.760871944444446</v>
      </c>
      <c r="D194">
        <f t="shared" si="5"/>
        <v>90.353380277777774</v>
      </c>
    </row>
    <row r="195" spans="1:4" x14ac:dyDescent="0.3">
      <c r="A195" t="s">
        <v>1197</v>
      </c>
      <c r="B195" t="s">
        <v>1691</v>
      </c>
      <c r="C195">
        <f t="shared" ref="C195:C258" si="6">DecimalDegreesConverter(A195,,,,TRUE)</f>
        <v>23.761039722222222</v>
      </c>
      <c r="D195">
        <f t="shared" ref="D195:D258" si="7">DecimalDegreesConverter(B195,,,,TRUE)</f>
        <v>90.363183611111111</v>
      </c>
    </row>
    <row r="196" spans="1:4" x14ac:dyDescent="0.3">
      <c r="A196" t="s">
        <v>1198</v>
      </c>
      <c r="B196" t="s">
        <v>1692</v>
      </c>
      <c r="C196">
        <f t="shared" si="6"/>
        <v>23.761206666666666</v>
      </c>
      <c r="D196">
        <f t="shared" si="7"/>
        <v>90.372986944444435</v>
      </c>
    </row>
    <row r="197" spans="1:4" x14ac:dyDescent="0.3">
      <c r="A197" t="s">
        <v>1199</v>
      </c>
      <c r="B197" t="s">
        <v>1693</v>
      </c>
      <c r="C197">
        <f t="shared" si="6"/>
        <v>23.761373333333335</v>
      </c>
      <c r="D197">
        <f t="shared" si="7"/>
        <v>90.382790555555545</v>
      </c>
    </row>
    <row r="198" spans="1:4" x14ac:dyDescent="0.3">
      <c r="A198" t="s">
        <v>1200</v>
      </c>
      <c r="B198" t="s">
        <v>1694</v>
      </c>
      <c r="C198">
        <f t="shared" si="6"/>
        <v>23.761539166666665</v>
      </c>
      <c r="D198">
        <f t="shared" si="7"/>
        <v>90.392593888888896</v>
      </c>
    </row>
    <row r="199" spans="1:4" x14ac:dyDescent="0.3">
      <c r="A199" t="s">
        <v>1201</v>
      </c>
      <c r="B199" t="s">
        <v>1695</v>
      </c>
      <c r="C199">
        <f t="shared" si="6"/>
        <v>23.761704444444444</v>
      </c>
      <c r="D199">
        <f t="shared" si="7"/>
        <v>90.402397500000006</v>
      </c>
    </row>
    <row r="200" spans="1:4" x14ac:dyDescent="0.3">
      <c r="A200" t="s">
        <v>1202</v>
      </c>
      <c r="B200" t="s">
        <v>1696</v>
      </c>
      <c r="C200">
        <f t="shared" si="6"/>
        <v>23.761869166666667</v>
      </c>
      <c r="D200">
        <f t="shared" si="7"/>
        <v>90.412201388888889</v>
      </c>
    </row>
    <row r="201" spans="1:4" x14ac:dyDescent="0.3">
      <c r="A201" t="s">
        <v>1203</v>
      </c>
      <c r="B201" t="s">
        <v>1697</v>
      </c>
      <c r="C201">
        <f t="shared" si="6"/>
        <v>23.762033055555555</v>
      </c>
      <c r="D201">
        <f t="shared" si="7"/>
        <v>90.422004999999999</v>
      </c>
    </row>
    <row r="202" spans="1:4" x14ac:dyDescent="0.3">
      <c r="A202" t="s">
        <v>1204</v>
      </c>
      <c r="B202" t="s">
        <v>1698</v>
      </c>
      <c r="C202">
        <f t="shared" si="6"/>
        <v>23.762196388888889</v>
      </c>
      <c r="D202">
        <f t="shared" si="7"/>
        <v>90.431808888888895</v>
      </c>
    </row>
    <row r="203" spans="1:4" x14ac:dyDescent="0.3">
      <c r="A203" t="s">
        <v>1205</v>
      </c>
      <c r="B203" t="s">
        <v>1699</v>
      </c>
      <c r="C203">
        <f t="shared" si="6"/>
        <v>23.762359166666666</v>
      </c>
      <c r="D203">
        <f t="shared" si="7"/>
        <v>90.441612777777777</v>
      </c>
    </row>
    <row r="204" spans="1:4" x14ac:dyDescent="0.3">
      <c r="A204" t="s">
        <v>1206</v>
      </c>
      <c r="B204" t="s">
        <v>1700</v>
      </c>
      <c r="C204">
        <f t="shared" si="6"/>
        <v>23.762521388888889</v>
      </c>
      <c r="D204">
        <f t="shared" si="7"/>
        <v>90.451416944444446</v>
      </c>
    </row>
    <row r="205" spans="1:4" x14ac:dyDescent="0.3">
      <c r="A205" t="s">
        <v>1207</v>
      </c>
      <c r="B205" t="s">
        <v>1701</v>
      </c>
      <c r="C205">
        <f t="shared" si="6"/>
        <v>23.762683055555556</v>
      </c>
      <c r="D205">
        <f t="shared" si="7"/>
        <v>90.461221111111115</v>
      </c>
    </row>
    <row r="206" spans="1:4" x14ac:dyDescent="0.3">
      <c r="A206" t="s">
        <v>1208</v>
      </c>
      <c r="B206" t="s">
        <v>1702</v>
      </c>
      <c r="C206">
        <f t="shared" si="6"/>
        <v>23.762843888888888</v>
      </c>
      <c r="D206">
        <f t="shared" si="7"/>
        <v>90.471025277777784</v>
      </c>
    </row>
    <row r="207" spans="1:4" x14ac:dyDescent="0.3">
      <c r="A207" t="s">
        <v>1209</v>
      </c>
      <c r="B207" t="s">
        <v>1703</v>
      </c>
      <c r="C207">
        <f t="shared" si="6"/>
        <v>23.763004166666665</v>
      </c>
      <c r="D207">
        <f t="shared" si="7"/>
        <v>90.480829722222225</v>
      </c>
    </row>
    <row r="208" spans="1:4" x14ac:dyDescent="0.3">
      <c r="A208" t="s">
        <v>1210</v>
      </c>
      <c r="B208" t="s">
        <v>1704</v>
      </c>
      <c r="C208">
        <f t="shared" si="6"/>
        <v>23.76316388888889</v>
      </c>
      <c r="D208">
        <f t="shared" si="7"/>
        <v>90.490633888888894</v>
      </c>
    </row>
    <row r="209" spans="1:4" x14ac:dyDescent="0.3">
      <c r="A209" t="s">
        <v>1211</v>
      </c>
      <c r="B209" t="s">
        <v>1705</v>
      </c>
      <c r="C209">
        <f t="shared" si="6"/>
        <v>23.763322777777777</v>
      </c>
      <c r="D209">
        <f t="shared" si="7"/>
        <v>90.500438611111107</v>
      </c>
    </row>
    <row r="210" spans="1:4" x14ac:dyDescent="0.3">
      <c r="A210" t="s">
        <v>1212</v>
      </c>
      <c r="B210" t="s">
        <v>1706</v>
      </c>
      <c r="C210">
        <f t="shared" si="6"/>
        <v>23.763481388888888</v>
      </c>
      <c r="D210">
        <f t="shared" si="7"/>
        <v>90.510243055555549</v>
      </c>
    </row>
    <row r="211" spans="1:4" x14ac:dyDescent="0.3">
      <c r="A211" t="s">
        <v>1213</v>
      </c>
      <c r="B211" t="s">
        <v>1707</v>
      </c>
      <c r="C211">
        <f t="shared" si="6"/>
        <v>23.769557222222222</v>
      </c>
      <c r="D211">
        <f t="shared" si="7"/>
        <v>90.333590277777773</v>
      </c>
    </row>
    <row r="212" spans="1:4" x14ac:dyDescent="0.3">
      <c r="A212" t="s">
        <v>1214</v>
      </c>
      <c r="B212" t="s">
        <v>1708</v>
      </c>
      <c r="C212">
        <f t="shared" si="6"/>
        <v>23.769726388888888</v>
      </c>
      <c r="D212">
        <f t="shared" si="7"/>
        <v>90.343393888888883</v>
      </c>
    </row>
    <row r="213" spans="1:4" x14ac:dyDescent="0.3">
      <c r="A213" t="s">
        <v>1215</v>
      </c>
      <c r="B213" t="s">
        <v>1709</v>
      </c>
      <c r="C213">
        <f t="shared" si="6"/>
        <v>23.769894722222222</v>
      </c>
      <c r="D213">
        <f t="shared" si="7"/>
        <v>90.353197777777766</v>
      </c>
    </row>
    <row r="214" spans="1:4" x14ac:dyDescent="0.3">
      <c r="A214" t="s">
        <v>1216</v>
      </c>
      <c r="B214" t="s">
        <v>1710</v>
      </c>
      <c r="C214">
        <f t="shared" si="6"/>
        <v>23.770062499999998</v>
      </c>
      <c r="D214">
        <f t="shared" si="7"/>
        <v>90.363001666666662</v>
      </c>
    </row>
    <row r="215" spans="1:4" x14ac:dyDescent="0.3">
      <c r="A215" t="s">
        <v>1217</v>
      </c>
      <c r="B215" t="s">
        <v>1711</v>
      </c>
      <c r="C215">
        <f t="shared" si="6"/>
        <v>23.770229722222222</v>
      </c>
      <c r="D215">
        <f t="shared" si="7"/>
        <v>90.372805833333331</v>
      </c>
    </row>
    <row r="216" spans="1:4" x14ac:dyDescent="0.3">
      <c r="A216" t="s">
        <v>1218</v>
      </c>
      <c r="B216" t="s">
        <v>1712</v>
      </c>
      <c r="C216">
        <f t="shared" si="6"/>
        <v>23.770396388888887</v>
      </c>
      <c r="D216">
        <f t="shared" si="7"/>
        <v>90.382609722222213</v>
      </c>
    </row>
    <row r="217" spans="1:4" x14ac:dyDescent="0.3">
      <c r="A217" t="s">
        <v>1219</v>
      </c>
      <c r="B217" t="s">
        <v>1713</v>
      </c>
      <c r="C217">
        <f t="shared" si="6"/>
        <v>23.770562222222221</v>
      </c>
      <c r="D217">
        <f t="shared" si="7"/>
        <v>90.392413888888896</v>
      </c>
    </row>
    <row r="218" spans="1:4" x14ac:dyDescent="0.3">
      <c r="A218" t="s">
        <v>1220</v>
      </c>
      <c r="B218" t="s">
        <v>1714</v>
      </c>
      <c r="C218">
        <f t="shared" si="6"/>
        <v>23.770727777777775</v>
      </c>
      <c r="D218">
        <f t="shared" si="7"/>
        <v>90.402218333333337</v>
      </c>
    </row>
    <row r="219" spans="1:4" x14ac:dyDescent="0.3">
      <c r="A219" t="s">
        <v>1221</v>
      </c>
      <c r="B219" t="s">
        <v>1715</v>
      </c>
      <c r="C219">
        <f t="shared" si="6"/>
        <v>23.770892499999999</v>
      </c>
      <c r="D219">
        <f t="shared" si="7"/>
        <v>90.412022777777779</v>
      </c>
    </row>
    <row r="220" spans="1:4" x14ac:dyDescent="0.3">
      <c r="A220" t="s">
        <v>1222</v>
      </c>
      <c r="B220" t="s">
        <v>1716</v>
      </c>
      <c r="C220">
        <f t="shared" si="6"/>
        <v>23.771056388888887</v>
      </c>
      <c r="D220">
        <f t="shared" si="7"/>
        <v>90.421827222222234</v>
      </c>
    </row>
    <row r="221" spans="1:4" x14ac:dyDescent="0.3">
      <c r="A221" t="s">
        <v>1223</v>
      </c>
      <c r="B221" t="s">
        <v>1717</v>
      </c>
      <c r="C221">
        <f t="shared" si="6"/>
        <v>23.77122</v>
      </c>
      <c r="D221">
        <f t="shared" si="7"/>
        <v>90.431631666666675</v>
      </c>
    </row>
    <row r="222" spans="1:4" x14ac:dyDescent="0.3">
      <c r="A222" t="s">
        <v>1224</v>
      </c>
      <c r="B222" t="s">
        <v>1718</v>
      </c>
      <c r="C222">
        <f t="shared" si="6"/>
        <v>23.771382777777777</v>
      </c>
      <c r="D222">
        <f t="shared" si="7"/>
        <v>90.441436388888889</v>
      </c>
    </row>
    <row r="223" spans="1:4" x14ac:dyDescent="0.3">
      <c r="A223" t="s">
        <v>1225</v>
      </c>
      <c r="B223" t="s">
        <v>1719</v>
      </c>
      <c r="C223">
        <f t="shared" si="6"/>
        <v>23.771545</v>
      </c>
      <c r="D223">
        <f t="shared" si="7"/>
        <v>90.451241111111116</v>
      </c>
    </row>
    <row r="224" spans="1:4" x14ac:dyDescent="0.3">
      <c r="A224" t="s">
        <v>1226</v>
      </c>
      <c r="B224" t="s">
        <v>1720</v>
      </c>
      <c r="C224">
        <f t="shared" si="6"/>
        <v>23.771706666666667</v>
      </c>
      <c r="D224">
        <f t="shared" si="7"/>
        <v>90.46104583333333</v>
      </c>
    </row>
    <row r="225" spans="1:4" x14ac:dyDescent="0.3">
      <c r="A225" t="s">
        <v>1227</v>
      </c>
      <c r="B225" t="s">
        <v>1721</v>
      </c>
      <c r="C225">
        <f t="shared" si="6"/>
        <v>23.771867499999999</v>
      </c>
      <c r="D225">
        <f t="shared" si="7"/>
        <v>90.47085083333333</v>
      </c>
    </row>
    <row r="226" spans="1:4" x14ac:dyDescent="0.3">
      <c r="A226" t="s">
        <v>1228</v>
      </c>
      <c r="B226" t="s">
        <v>1722</v>
      </c>
      <c r="C226">
        <f t="shared" si="6"/>
        <v>23.772028055555555</v>
      </c>
      <c r="D226">
        <f t="shared" si="7"/>
        <v>90.48065583333333</v>
      </c>
    </row>
    <row r="227" spans="1:4" x14ac:dyDescent="0.3">
      <c r="A227" t="s">
        <v>1229</v>
      </c>
      <c r="B227" t="s">
        <v>1723</v>
      </c>
      <c r="C227">
        <f t="shared" si="6"/>
        <v>23.772187777777777</v>
      </c>
      <c r="D227">
        <f t="shared" si="7"/>
        <v>90.49046083333333</v>
      </c>
    </row>
    <row r="228" spans="1:4" x14ac:dyDescent="0.3">
      <c r="A228" t="s">
        <v>1230</v>
      </c>
      <c r="B228" t="s">
        <v>1724</v>
      </c>
      <c r="C228">
        <f t="shared" si="6"/>
        <v>23.772346666666667</v>
      </c>
      <c r="D228">
        <f t="shared" si="7"/>
        <v>90.50026583333333</v>
      </c>
    </row>
    <row r="229" spans="1:4" x14ac:dyDescent="0.3">
      <c r="A229" t="s">
        <v>1231</v>
      </c>
      <c r="B229" t="s">
        <v>1725</v>
      </c>
      <c r="C229">
        <f t="shared" si="6"/>
        <v>23.772505277777778</v>
      </c>
      <c r="D229">
        <f t="shared" si="7"/>
        <v>90.510071111111117</v>
      </c>
    </row>
    <row r="230" spans="1:4" x14ac:dyDescent="0.3">
      <c r="A230" t="s">
        <v>1232</v>
      </c>
      <c r="B230" t="s">
        <v>1726</v>
      </c>
      <c r="C230">
        <f t="shared" si="6"/>
        <v>23.778579999999998</v>
      </c>
      <c r="D230">
        <f t="shared" si="7"/>
        <v>90.333406111111103</v>
      </c>
    </row>
    <row r="231" spans="1:4" x14ac:dyDescent="0.3">
      <c r="A231" t="s">
        <v>1233</v>
      </c>
      <c r="B231" t="s">
        <v>1727</v>
      </c>
      <c r="C231">
        <f t="shared" si="6"/>
        <v>23.778749166666667</v>
      </c>
      <c r="D231">
        <f t="shared" si="7"/>
        <v>90.343210555555544</v>
      </c>
    </row>
    <row r="232" spans="1:4" x14ac:dyDescent="0.3">
      <c r="A232" t="s">
        <v>1234</v>
      </c>
      <c r="B232" t="s">
        <v>1728</v>
      </c>
      <c r="C232">
        <f t="shared" si="6"/>
        <v>23.778917777777778</v>
      </c>
      <c r="D232">
        <f t="shared" si="7"/>
        <v>90.353014999999999</v>
      </c>
    </row>
    <row r="233" spans="1:4" x14ac:dyDescent="0.3">
      <c r="A233" t="s">
        <v>1235</v>
      </c>
      <c r="B233" t="s">
        <v>1729</v>
      </c>
      <c r="C233">
        <f t="shared" si="6"/>
        <v>23.779085555555554</v>
      </c>
      <c r="D233">
        <f t="shared" si="7"/>
        <v>90.362819722222213</v>
      </c>
    </row>
    <row r="234" spans="1:4" x14ac:dyDescent="0.3">
      <c r="A234" t="s">
        <v>1236</v>
      </c>
      <c r="B234" t="s">
        <v>1730</v>
      </c>
      <c r="C234">
        <f t="shared" si="6"/>
        <v>23.779252777777778</v>
      </c>
      <c r="D234">
        <f t="shared" si="7"/>
        <v>90.37262444444444</v>
      </c>
    </row>
    <row r="235" spans="1:4" x14ac:dyDescent="0.3">
      <c r="A235" t="s">
        <v>1237</v>
      </c>
      <c r="B235" t="s">
        <v>1731</v>
      </c>
      <c r="C235">
        <f t="shared" si="6"/>
        <v>23.779419444444443</v>
      </c>
      <c r="D235">
        <f t="shared" si="7"/>
        <v>90.382429166666654</v>
      </c>
    </row>
    <row r="236" spans="1:4" x14ac:dyDescent="0.3">
      <c r="A236" t="s">
        <v>1238</v>
      </c>
      <c r="B236" t="s">
        <v>1732</v>
      </c>
      <c r="C236">
        <f t="shared" si="6"/>
        <v>23.779585555555556</v>
      </c>
      <c r="D236">
        <f t="shared" si="7"/>
        <v>90.392233888888896</v>
      </c>
    </row>
    <row r="237" spans="1:4" x14ac:dyDescent="0.3">
      <c r="A237" t="s">
        <v>1239</v>
      </c>
      <c r="B237" t="s">
        <v>1733</v>
      </c>
      <c r="C237">
        <f t="shared" si="6"/>
        <v>23.779750833333331</v>
      </c>
      <c r="D237">
        <f t="shared" si="7"/>
        <v>90.402038888888896</v>
      </c>
    </row>
    <row r="238" spans="1:4" x14ac:dyDescent="0.3">
      <c r="A238" t="s">
        <v>1240</v>
      </c>
      <c r="B238" t="s">
        <v>1734</v>
      </c>
      <c r="C238">
        <f t="shared" si="6"/>
        <v>23.779915555555554</v>
      </c>
      <c r="D238">
        <f t="shared" si="7"/>
        <v>90.411843888888896</v>
      </c>
    </row>
    <row r="239" spans="1:4" x14ac:dyDescent="0.3">
      <c r="A239" t="s">
        <v>1241</v>
      </c>
      <c r="B239" t="s">
        <v>1735</v>
      </c>
      <c r="C239">
        <f t="shared" si="6"/>
        <v>23.780079722222222</v>
      </c>
      <c r="D239">
        <f t="shared" si="7"/>
        <v>90.421649166666668</v>
      </c>
    </row>
    <row r="240" spans="1:4" x14ac:dyDescent="0.3">
      <c r="A240" t="s">
        <v>1242</v>
      </c>
      <c r="B240" t="s">
        <v>1736</v>
      </c>
      <c r="C240">
        <f t="shared" si="6"/>
        <v>23.780243333333331</v>
      </c>
      <c r="D240">
        <f t="shared" si="7"/>
        <v>90.431454444444455</v>
      </c>
    </row>
    <row r="241" spans="1:4" x14ac:dyDescent="0.3">
      <c r="A241" t="s">
        <v>1243</v>
      </c>
      <c r="B241" t="s">
        <v>1737</v>
      </c>
      <c r="C241">
        <f t="shared" si="6"/>
        <v>23.780406388888888</v>
      </c>
      <c r="D241">
        <f t="shared" si="7"/>
        <v>90.441259722222227</v>
      </c>
    </row>
    <row r="242" spans="1:4" x14ac:dyDescent="0.3">
      <c r="A242" t="s">
        <v>1244</v>
      </c>
      <c r="B242" t="s">
        <v>1738</v>
      </c>
      <c r="C242">
        <f t="shared" si="6"/>
        <v>23.780568611111111</v>
      </c>
      <c r="D242">
        <f t="shared" si="7"/>
        <v>90.451065</v>
      </c>
    </row>
    <row r="243" spans="1:4" x14ac:dyDescent="0.3">
      <c r="A243" t="s">
        <v>1245</v>
      </c>
      <c r="B243" t="s">
        <v>1739</v>
      </c>
      <c r="C243">
        <f t="shared" si="6"/>
        <v>23.780730277777778</v>
      </c>
      <c r="D243">
        <f t="shared" si="7"/>
        <v>90.460870555555559</v>
      </c>
    </row>
    <row r="244" spans="1:4" x14ac:dyDescent="0.3">
      <c r="A244" t="s">
        <v>1246</v>
      </c>
      <c r="B244" t="s">
        <v>1740</v>
      </c>
      <c r="C244">
        <f t="shared" si="6"/>
        <v>23.78089138888889</v>
      </c>
      <c r="D244">
        <f t="shared" si="7"/>
        <v>90.470676111111118</v>
      </c>
    </row>
    <row r="245" spans="1:4" x14ac:dyDescent="0.3">
      <c r="A245" t="s">
        <v>1247</v>
      </c>
      <c r="B245" t="s">
        <v>1741</v>
      </c>
      <c r="C245">
        <f t="shared" si="6"/>
        <v>23.781051666666666</v>
      </c>
      <c r="D245">
        <f t="shared" si="7"/>
        <v>90.480481666666662</v>
      </c>
    </row>
    <row r="246" spans="1:4" x14ac:dyDescent="0.3">
      <c r="A246" t="s">
        <v>1248</v>
      </c>
      <c r="B246" t="s">
        <v>1742</v>
      </c>
      <c r="C246">
        <f t="shared" si="6"/>
        <v>23.781211666666664</v>
      </c>
      <c r="D246">
        <f t="shared" si="7"/>
        <v>90.490287500000008</v>
      </c>
    </row>
    <row r="247" spans="1:4" x14ac:dyDescent="0.3">
      <c r="A247" t="s">
        <v>1249</v>
      </c>
      <c r="B247" t="s">
        <v>1743</v>
      </c>
      <c r="C247">
        <f t="shared" si="6"/>
        <v>23.781370833333334</v>
      </c>
      <c r="D247">
        <f t="shared" si="7"/>
        <v>90.500093333333339</v>
      </c>
    </row>
    <row r="248" spans="1:4" x14ac:dyDescent="0.3">
      <c r="A248" t="s">
        <v>1250</v>
      </c>
      <c r="B248" t="s">
        <v>1744</v>
      </c>
      <c r="C248">
        <f t="shared" si="6"/>
        <v>23.781529166666665</v>
      </c>
      <c r="D248">
        <f t="shared" si="7"/>
        <v>90.509899166666671</v>
      </c>
    </row>
    <row r="249" spans="1:4" x14ac:dyDescent="0.3">
      <c r="A249" t="s">
        <v>1251</v>
      </c>
      <c r="B249" t="s">
        <v>1745</v>
      </c>
      <c r="C249">
        <f t="shared" si="6"/>
        <v>23.787602777777778</v>
      </c>
      <c r="D249">
        <f t="shared" si="7"/>
        <v>90.333221944444446</v>
      </c>
    </row>
    <row r="250" spans="1:4" x14ac:dyDescent="0.3">
      <c r="A250" t="s">
        <v>1252</v>
      </c>
      <c r="B250" t="s">
        <v>1746</v>
      </c>
      <c r="C250">
        <f t="shared" si="6"/>
        <v>23.787771944444447</v>
      </c>
      <c r="D250">
        <f t="shared" si="7"/>
        <v>90.343026944444446</v>
      </c>
    </row>
    <row r="251" spans="1:4" x14ac:dyDescent="0.3">
      <c r="A251" t="s">
        <v>1253</v>
      </c>
      <c r="B251" t="s">
        <v>1747</v>
      </c>
      <c r="C251">
        <f t="shared" si="6"/>
        <v>23.787940555555558</v>
      </c>
      <c r="D251">
        <f t="shared" si="7"/>
        <v>90.352832222222219</v>
      </c>
    </row>
    <row r="252" spans="1:4" x14ac:dyDescent="0.3">
      <c r="A252" t="s">
        <v>1254</v>
      </c>
      <c r="B252" t="s">
        <v>1748</v>
      </c>
      <c r="C252">
        <f t="shared" si="6"/>
        <v>23.788108611111113</v>
      </c>
      <c r="D252">
        <f t="shared" si="7"/>
        <v>90.362637499999991</v>
      </c>
    </row>
    <row r="253" spans="1:4" x14ac:dyDescent="0.3">
      <c r="A253" t="s">
        <v>1255</v>
      </c>
      <c r="B253" t="s">
        <v>1749</v>
      </c>
      <c r="C253">
        <f t="shared" si="6"/>
        <v>23.788275833333334</v>
      </c>
      <c r="D253">
        <f t="shared" si="7"/>
        <v>90.372442777777778</v>
      </c>
    </row>
    <row r="254" spans="1:4" x14ac:dyDescent="0.3">
      <c r="A254" t="s">
        <v>1256</v>
      </c>
      <c r="B254" t="s">
        <v>1750</v>
      </c>
      <c r="C254">
        <f t="shared" si="6"/>
        <v>23.788442500000002</v>
      </c>
      <c r="D254">
        <f t="shared" si="7"/>
        <v>90.382248333333322</v>
      </c>
    </row>
    <row r="255" spans="1:4" x14ac:dyDescent="0.3">
      <c r="A255" t="s">
        <v>1257</v>
      </c>
      <c r="B255" t="s">
        <v>1751</v>
      </c>
      <c r="C255">
        <f t="shared" si="6"/>
        <v>23.788608611111112</v>
      </c>
      <c r="D255">
        <f t="shared" si="7"/>
        <v>90.392053888888896</v>
      </c>
    </row>
    <row r="256" spans="1:4" x14ac:dyDescent="0.3">
      <c r="A256" t="s">
        <v>1258</v>
      </c>
      <c r="B256" t="s">
        <v>1752</v>
      </c>
      <c r="C256">
        <f t="shared" si="6"/>
        <v>23.78877416666667</v>
      </c>
      <c r="D256">
        <f t="shared" si="7"/>
        <v>90.401859444444455</v>
      </c>
    </row>
    <row r="257" spans="1:4" x14ac:dyDescent="0.3">
      <c r="A257" t="s">
        <v>1259</v>
      </c>
      <c r="B257" t="s">
        <v>1753</v>
      </c>
      <c r="C257">
        <f t="shared" si="6"/>
        <v>23.78893888888889</v>
      </c>
      <c r="D257">
        <f t="shared" si="7"/>
        <v>90.411665277777786</v>
      </c>
    </row>
    <row r="258" spans="1:4" x14ac:dyDescent="0.3">
      <c r="A258" t="s">
        <v>1260</v>
      </c>
      <c r="B258" t="s">
        <v>1754</v>
      </c>
      <c r="C258">
        <f t="shared" si="6"/>
        <v>23.789103055555557</v>
      </c>
      <c r="D258">
        <f t="shared" si="7"/>
        <v>90.421471111111117</v>
      </c>
    </row>
    <row r="259" spans="1:4" x14ac:dyDescent="0.3">
      <c r="A259" t="s">
        <v>1261</v>
      </c>
      <c r="B259" t="s">
        <v>1755</v>
      </c>
      <c r="C259">
        <f t="shared" ref="C259:C322" si="8">DecimalDegreesConverter(A259,,,,TRUE)</f>
        <v>23.78926666666667</v>
      </c>
      <c r="D259">
        <f t="shared" ref="D259:D322" si="9">DecimalDegreesConverter(B259,,,,TRUE)</f>
        <v>90.431276944444448</v>
      </c>
    </row>
    <row r="260" spans="1:4" x14ac:dyDescent="0.3">
      <c r="A260" t="s">
        <v>1262</v>
      </c>
      <c r="B260" t="s">
        <v>1756</v>
      </c>
      <c r="C260">
        <f t="shared" si="8"/>
        <v>23.789429722222224</v>
      </c>
      <c r="D260">
        <f t="shared" si="9"/>
        <v>90.441083055555566</v>
      </c>
    </row>
    <row r="261" spans="1:4" x14ac:dyDescent="0.3">
      <c r="A261" t="s">
        <v>1263</v>
      </c>
      <c r="B261" t="s">
        <v>1757</v>
      </c>
      <c r="C261">
        <f t="shared" si="8"/>
        <v>23.789592222222225</v>
      </c>
      <c r="D261">
        <f t="shared" si="9"/>
        <v>90.450888888888898</v>
      </c>
    </row>
    <row r="262" spans="1:4" x14ac:dyDescent="0.3">
      <c r="A262" t="s">
        <v>1264</v>
      </c>
      <c r="B262" t="s">
        <v>1758</v>
      </c>
      <c r="C262">
        <f t="shared" si="8"/>
        <v>23.789753888888889</v>
      </c>
      <c r="D262">
        <f t="shared" si="9"/>
        <v>90.460695277777774</v>
      </c>
    </row>
    <row r="263" spans="1:4" x14ac:dyDescent="0.3">
      <c r="A263" t="s">
        <v>1265</v>
      </c>
      <c r="B263" t="s">
        <v>1759</v>
      </c>
      <c r="C263">
        <f t="shared" si="8"/>
        <v>23.789915000000001</v>
      </c>
      <c r="D263">
        <f t="shared" si="9"/>
        <v>90.470501388888891</v>
      </c>
    </row>
    <row r="264" spans="1:4" x14ac:dyDescent="0.3">
      <c r="A264" t="s">
        <v>1266</v>
      </c>
      <c r="B264" t="s">
        <v>1760</v>
      </c>
      <c r="C264">
        <f t="shared" si="8"/>
        <v>23.790075555555557</v>
      </c>
      <c r="D264">
        <f t="shared" si="9"/>
        <v>90.480307777777782</v>
      </c>
    </row>
    <row r="265" spans="1:4" x14ac:dyDescent="0.3">
      <c r="A265" t="s">
        <v>1267</v>
      </c>
      <c r="B265" t="s">
        <v>1761</v>
      </c>
      <c r="C265">
        <f t="shared" si="8"/>
        <v>23.790235277777779</v>
      </c>
      <c r="D265">
        <f t="shared" si="9"/>
        <v>90.490114166666672</v>
      </c>
    </row>
    <row r="266" spans="1:4" x14ac:dyDescent="0.3">
      <c r="A266" t="s">
        <v>1268</v>
      </c>
      <c r="B266" t="s">
        <v>1762</v>
      </c>
      <c r="C266">
        <f t="shared" si="8"/>
        <v>23.790394722222224</v>
      </c>
      <c r="D266">
        <f t="shared" si="9"/>
        <v>90.499920555555562</v>
      </c>
    </row>
    <row r="267" spans="1:4" x14ac:dyDescent="0.3">
      <c r="A267" t="s">
        <v>1269</v>
      </c>
      <c r="B267" t="s">
        <v>1763</v>
      </c>
      <c r="C267">
        <f t="shared" si="8"/>
        <v>23.790553333333335</v>
      </c>
      <c r="D267">
        <f t="shared" si="9"/>
        <v>90.509727222222224</v>
      </c>
    </row>
    <row r="268" spans="1:4" x14ac:dyDescent="0.3">
      <c r="A268" t="s">
        <v>1270</v>
      </c>
      <c r="B268" t="s">
        <v>1764</v>
      </c>
      <c r="C268">
        <f t="shared" si="8"/>
        <v>23.796625555555558</v>
      </c>
      <c r="D268">
        <f t="shared" si="9"/>
        <v>90.333037777777776</v>
      </c>
    </row>
    <row r="269" spans="1:4" x14ac:dyDescent="0.3">
      <c r="A269" t="s">
        <v>1271</v>
      </c>
      <c r="B269" t="s">
        <v>1765</v>
      </c>
      <c r="C269">
        <f t="shared" si="8"/>
        <v>23.796794722222224</v>
      </c>
      <c r="D269">
        <f t="shared" si="9"/>
        <v>90.342843611111107</v>
      </c>
    </row>
    <row r="270" spans="1:4" x14ac:dyDescent="0.3">
      <c r="A270" t="s">
        <v>1272</v>
      </c>
      <c r="B270" t="s">
        <v>1766</v>
      </c>
      <c r="C270">
        <f t="shared" si="8"/>
        <v>23.796963333333334</v>
      </c>
      <c r="D270">
        <f t="shared" si="9"/>
        <v>90.352649444444438</v>
      </c>
    </row>
    <row r="271" spans="1:4" x14ac:dyDescent="0.3">
      <c r="A271" t="s">
        <v>1273</v>
      </c>
      <c r="B271" t="s">
        <v>1767</v>
      </c>
      <c r="C271">
        <f t="shared" si="8"/>
        <v>23.797131388888889</v>
      </c>
      <c r="D271">
        <f t="shared" si="9"/>
        <v>90.362455277777769</v>
      </c>
    </row>
    <row r="272" spans="1:4" x14ac:dyDescent="0.3">
      <c r="A272" t="s">
        <v>1274</v>
      </c>
      <c r="B272" t="s">
        <v>1768</v>
      </c>
      <c r="C272">
        <f t="shared" si="8"/>
        <v>23.797298888888889</v>
      </c>
      <c r="D272">
        <f t="shared" si="9"/>
        <v>90.372261388888887</v>
      </c>
    </row>
    <row r="273" spans="1:4" x14ac:dyDescent="0.3">
      <c r="A273" t="s">
        <v>1275</v>
      </c>
      <c r="B273" t="s">
        <v>1769</v>
      </c>
      <c r="C273">
        <f t="shared" si="8"/>
        <v>23.797465555555558</v>
      </c>
      <c r="D273">
        <f t="shared" si="9"/>
        <v>90.382067499999991</v>
      </c>
    </row>
    <row r="274" spans="1:4" x14ac:dyDescent="0.3">
      <c r="A274" t="s">
        <v>1276</v>
      </c>
      <c r="B274" t="s">
        <v>1770</v>
      </c>
      <c r="C274">
        <f t="shared" si="8"/>
        <v>23.797631666666668</v>
      </c>
      <c r="D274">
        <f t="shared" si="9"/>
        <v>90.391873611111123</v>
      </c>
    </row>
    <row r="275" spans="1:4" x14ac:dyDescent="0.3">
      <c r="A275" t="s">
        <v>1277</v>
      </c>
      <c r="B275" t="s">
        <v>1771</v>
      </c>
      <c r="C275">
        <f t="shared" si="8"/>
        <v>23.797797222222226</v>
      </c>
      <c r="D275">
        <f t="shared" si="9"/>
        <v>90.401679999999999</v>
      </c>
    </row>
    <row r="276" spans="1:4" x14ac:dyDescent="0.3">
      <c r="A276" t="s">
        <v>1278</v>
      </c>
      <c r="B276" t="s">
        <v>1772</v>
      </c>
      <c r="C276">
        <f t="shared" si="8"/>
        <v>23.797962222222225</v>
      </c>
      <c r="D276">
        <f t="shared" si="9"/>
        <v>90.411486388888889</v>
      </c>
    </row>
    <row r="277" spans="1:4" x14ac:dyDescent="0.3">
      <c r="A277" t="s">
        <v>1279</v>
      </c>
      <c r="B277" t="s">
        <v>1773</v>
      </c>
      <c r="C277">
        <f t="shared" si="8"/>
        <v>23.798126666666668</v>
      </c>
      <c r="D277">
        <f t="shared" si="9"/>
        <v>90.421292777777779</v>
      </c>
    </row>
    <row r="278" spans="1:4" x14ac:dyDescent="0.3">
      <c r="A278" t="s">
        <v>1280</v>
      </c>
      <c r="B278" t="s">
        <v>1774</v>
      </c>
      <c r="C278">
        <f t="shared" si="8"/>
        <v>23.798290277777781</v>
      </c>
      <c r="D278">
        <f t="shared" si="9"/>
        <v>90.431099444444456</v>
      </c>
    </row>
    <row r="279" spans="1:4" x14ac:dyDescent="0.3">
      <c r="A279" t="s">
        <v>1281</v>
      </c>
      <c r="B279" t="s">
        <v>1775</v>
      </c>
      <c r="C279">
        <f t="shared" si="8"/>
        <v>23.798453333333335</v>
      </c>
      <c r="D279">
        <f t="shared" si="9"/>
        <v>90.440906111111119</v>
      </c>
    </row>
    <row r="280" spans="1:4" x14ac:dyDescent="0.3">
      <c r="A280" t="s">
        <v>1282</v>
      </c>
      <c r="B280" t="s">
        <v>1776</v>
      </c>
      <c r="C280">
        <f t="shared" si="8"/>
        <v>23.798615555555557</v>
      </c>
      <c r="D280">
        <f t="shared" si="9"/>
        <v>90.450712777777781</v>
      </c>
    </row>
    <row r="281" spans="1:4" x14ac:dyDescent="0.3">
      <c r="A281" t="s">
        <v>1283</v>
      </c>
      <c r="B281" t="s">
        <v>1777</v>
      </c>
      <c r="C281">
        <f t="shared" si="8"/>
        <v>23.7987775</v>
      </c>
      <c r="D281">
        <f t="shared" si="9"/>
        <v>90.46051972222223</v>
      </c>
    </row>
    <row r="282" spans="1:4" x14ac:dyDescent="0.3">
      <c r="A282" t="s">
        <v>1284</v>
      </c>
      <c r="B282" t="s">
        <v>1778</v>
      </c>
      <c r="C282">
        <f t="shared" si="8"/>
        <v>23.798938611111112</v>
      </c>
      <c r="D282">
        <f t="shared" si="9"/>
        <v>90.470326666666665</v>
      </c>
    </row>
    <row r="283" spans="1:4" x14ac:dyDescent="0.3">
      <c r="A283" t="s">
        <v>1285</v>
      </c>
      <c r="B283" t="s">
        <v>1779</v>
      </c>
      <c r="C283">
        <f t="shared" si="8"/>
        <v>23.799099166666668</v>
      </c>
      <c r="D283">
        <f t="shared" si="9"/>
        <v>90.480133611111114</v>
      </c>
    </row>
    <row r="284" spans="1:4" x14ac:dyDescent="0.3">
      <c r="A284" t="s">
        <v>1286</v>
      </c>
      <c r="B284" t="s">
        <v>1780</v>
      </c>
      <c r="C284">
        <f t="shared" si="8"/>
        <v>23.799259166666669</v>
      </c>
      <c r="D284">
        <f t="shared" si="9"/>
        <v>90.489940833333335</v>
      </c>
    </row>
    <row r="285" spans="1:4" x14ac:dyDescent="0.3">
      <c r="A285" t="s">
        <v>1287</v>
      </c>
      <c r="B285" t="s">
        <v>1781</v>
      </c>
      <c r="C285">
        <f t="shared" si="8"/>
        <v>23.799418611111111</v>
      </c>
      <c r="D285">
        <f t="shared" si="9"/>
        <v>90.499748055555557</v>
      </c>
    </row>
    <row r="286" spans="1:4" x14ac:dyDescent="0.3">
      <c r="A286" t="s">
        <v>1288</v>
      </c>
      <c r="B286" t="s">
        <v>1782</v>
      </c>
      <c r="C286">
        <f t="shared" si="8"/>
        <v>23.799577222222222</v>
      </c>
      <c r="D286">
        <f t="shared" si="9"/>
        <v>90.509555277777778</v>
      </c>
    </row>
    <row r="287" spans="1:4" x14ac:dyDescent="0.3">
      <c r="A287" t="s">
        <v>1289</v>
      </c>
      <c r="B287" t="s">
        <v>1783</v>
      </c>
      <c r="C287">
        <f t="shared" si="8"/>
        <v>23.805648055555555</v>
      </c>
      <c r="D287">
        <f t="shared" si="9"/>
        <v>90.332853333333333</v>
      </c>
    </row>
    <row r="288" spans="1:4" x14ac:dyDescent="0.3">
      <c r="A288" t="s">
        <v>1290</v>
      </c>
      <c r="B288" t="s">
        <v>1784</v>
      </c>
      <c r="C288">
        <f t="shared" si="8"/>
        <v>23.8058175</v>
      </c>
      <c r="D288">
        <f t="shared" si="9"/>
        <v>90.342659722222223</v>
      </c>
    </row>
    <row r="289" spans="1:4" x14ac:dyDescent="0.3">
      <c r="A289" t="s">
        <v>1291</v>
      </c>
      <c r="B289" t="s">
        <v>1785</v>
      </c>
      <c r="C289">
        <f t="shared" si="8"/>
        <v>23.80598611111111</v>
      </c>
      <c r="D289">
        <f t="shared" si="9"/>
        <v>90.352466388888885</v>
      </c>
    </row>
    <row r="290" spans="1:4" x14ac:dyDescent="0.3">
      <c r="A290" t="s">
        <v>1292</v>
      </c>
      <c r="B290" t="s">
        <v>1786</v>
      </c>
      <c r="C290">
        <f t="shared" si="8"/>
        <v>23.806154444444445</v>
      </c>
      <c r="D290">
        <f t="shared" si="9"/>
        <v>90.362273055555548</v>
      </c>
    </row>
    <row r="291" spans="1:4" x14ac:dyDescent="0.3">
      <c r="A291" t="s">
        <v>1293</v>
      </c>
      <c r="B291" t="s">
        <v>1787</v>
      </c>
      <c r="C291">
        <f t="shared" si="8"/>
        <v>23.806321944444445</v>
      </c>
      <c r="D291">
        <f t="shared" si="9"/>
        <v>90.37207972222221</v>
      </c>
    </row>
    <row r="292" spans="1:4" x14ac:dyDescent="0.3">
      <c r="A292" t="s">
        <v>1294</v>
      </c>
      <c r="B292" t="s">
        <v>1788</v>
      </c>
      <c r="C292">
        <f t="shared" si="8"/>
        <v>23.806488611111114</v>
      </c>
      <c r="D292">
        <f t="shared" si="9"/>
        <v>90.381886388888887</v>
      </c>
    </row>
    <row r="293" spans="1:4" x14ac:dyDescent="0.3">
      <c r="A293" t="s">
        <v>1295</v>
      </c>
      <c r="B293" t="s">
        <v>1789</v>
      </c>
      <c r="C293">
        <f t="shared" si="8"/>
        <v>23.806654999999999</v>
      </c>
      <c r="D293">
        <f t="shared" si="9"/>
        <v>90.391693333333336</v>
      </c>
    </row>
    <row r="294" spans="1:4" x14ac:dyDescent="0.3">
      <c r="A294" t="s">
        <v>1296</v>
      </c>
      <c r="B294" t="s">
        <v>1790</v>
      </c>
      <c r="C294">
        <f t="shared" si="8"/>
        <v>23.806820555555557</v>
      </c>
      <c r="D294">
        <f t="shared" si="9"/>
        <v>90.401500277777785</v>
      </c>
    </row>
    <row r="295" spans="1:4" x14ac:dyDescent="0.3">
      <c r="A295" t="s">
        <v>1297</v>
      </c>
      <c r="B295" t="s">
        <v>1791</v>
      </c>
      <c r="C295">
        <f t="shared" si="8"/>
        <v>23.806985555555556</v>
      </c>
      <c r="D295">
        <f t="shared" si="9"/>
        <v>90.411307500000007</v>
      </c>
    </row>
    <row r="296" spans="1:4" x14ac:dyDescent="0.3">
      <c r="A296" t="s">
        <v>1298</v>
      </c>
      <c r="B296" t="s">
        <v>1792</v>
      </c>
      <c r="C296">
        <f t="shared" si="8"/>
        <v>23.80715</v>
      </c>
      <c r="D296">
        <f t="shared" si="9"/>
        <v>90.421114722222228</v>
      </c>
    </row>
    <row r="297" spans="1:4" x14ac:dyDescent="0.3">
      <c r="A297" t="s">
        <v>1299</v>
      </c>
      <c r="B297" t="s">
        <v>1793</v>
      </c>
      <c r="C297">
        <f t="shared" si="8"/>
        <v>23.807313611111113</v>
      </c>
      <c r="D297">
        <f t="shared" si="9"/>
        <v>90.430921944444449</v>
      </c>
    </row>
    <row r="298" spans="1:4" x14ac:dyDescent="0.3">
      <c r="A298" t="s">
        <v>1300</v>
      </c>
      <c r="B298" t="s">
        <v>1794</v>
      </c>
      <c r="C298">
        <f t="shared" si="8"/>
        <v>23.807476666666666</v>
      </c>
      <c r="D298">
        <f t="shared" si="9"/>
        <v>90.440729166666671</v>
      </c>
    </row>
    <row r="299" spans="1:4" x14ac:dyDescent="0.3">
      <c r="A299" t="s">
        <v>1301</v>
      </c>
      <c r="B299" t="s">
        <v>1795</v>
      </c>
      <c r="C299">
        <f t="shared" si="8"/>
        <v>23.807639166666668</v>
      </c>
      <c r="D299">
        <f t="shared" si="9"/>
        <v>90.450536666666665</v>
      </c>
    </row>
    <row r="300" spans="1:4" x14ac:dyDescent="0.3">
      <c r="A300" t="s">
        <v>1302</v>
      </c>
      <c r="B300" t="s">
        <v>1796</v>
      </c>
      <c r="C300">
        <f t="shared" si="8"/>
        <v>23.807801111111111</v>
      </c>
      <c r="D300">
        <f t="shared" si="9"/>
        <v>90.460344166666673</v>
      </c>
    </row>
    <row r="301" spans="1:4" x14ac:dyDescent="0.3">
      <c r="A301" t="s">
        <v>1303</v>
      </c>
      <c r="B301" t="s">
        <v>1797</v>
      </c>
      <c r="C301">
        <f t="shared" si="8"/>
        <v>23.807962222222223</v>
      </c>
      <c r="D301">
        <f t="shared" si="9"/>
        <v>90.470151666666666</v>
      </c>
    </row>
    <row r="302" spans="1:4" x14ac:dyDescent="0.3">
      <c r="A302" t="s">
        <v>1304</v>
      </c>
      <c r="B302" t="s">
        <v>1798</v>
      </c>
      <c r="C302">
        <f t="shared" si="8"/>
        <v>23.808123055555555</v>
      </c>
      <c r="D302">
        <f t="shared" si="9"/>
        <v>90.479959444444447</v>
      </c>
    </row>
    <row r="303" spans="1:4" x14ac:dyDescent="0.3">
      <c r="A303" t="s">
        <v>1305</v>
      </c>
      <c r="B303" t="s">
        <v>1799</v>
      </c>
      <c r="C303">
        <f t="shared" si="8"/>
        <v>23.808283055555556</v>
      </c>
      <c r="D303">
        <f t="shared" si="9"/>
        <v>90.489767222222227</v>
      </c>
    </row>
    <row r="304" spans="1:4" x14ac:dyDescent="0.3">
      <c r="A304" t="s">
        <v>1306</v>
      </c>
      <c r="B304" t="s">
        <v>1800</v>
      </c>
      <c r="C304">
        <f t="shared" si="8"/>
        <v>23.808442500000002</v>
      </c>
      <c r="D304">
        <f t="shared" si="9"/>
        <v>90.499575000000007</v>
      </c>
    </row>
    <row r="305" spans="1:4" x14ac:dyDescent="0.3">
      <c r="A305" t="s">
        <v>1307</v>
      </c>
      <c r="B305" t="s">
        <v>1801</v>
      </c>
      <c r="C305">
        <f t="shared" si="8"/>
        <v>23.808601111111113</v>
      </c>
      <c r="D305">
        <f t="shared" si="9"/>
        <v>90.50938305555556</v>
      </c>
    </row>
    <row r="306" spans="1:4" x14ac:dyDescent="0.3">
      <c r="A306" t="s">
        <v>1308</v>
      </c>
      <c r="B306" t="s">
        <v>1802</v>
      </c>
      <c r="C306">
        <f t="shared" si="8"/>
        <v>23.814670833333334</v>
      </c>
      <c r="D306">
        <f t="shared" si="9"/>
        <v>90.33266888888889</v>
      </c>
    </row>
    <row r="307" spans="1:4" x14ac:dyDescent="0.3">
      <c r="A307" t="s">
        <v>1309</v>
      </c>
      <c r="B307" t="s">
        <v>1803</v>
      </c>
      <c r="C307">
        <f t="shared" si="8"/>
        <v>23.81484027777778</v>
      </c>
      <c r="D307">
        <f t="shared" si="9"/>
        <v>90.342476111111111</v>
      </c>
    </row>
    <row r="308" spans="1:4" x14ac:dyDescent="0.3">
      <c r="A308" t="s">
        <v>1310</v>
      </c>
      <c r="B308" t="s">
        <v>1804</v>
      </c>
      <c r="C308">
        <f t="shared" si="8"/>
        <v>23.815009166666666</v>
      </c>
      <c r="D308">
        <f t="shared" si="9"/>
        <v>90.352283333333332</v>
      </c>
    </row>
    <row r="309" spans="1:4" x14ac:dyDescent="0.3">
      <c r="A309" t="s">
        <v>1311</v>
      </c>
      <c r="B309" t="s">
        <v>1805</v>
      </c>
      <c r="C309">
        <f t="shared" si="8"/>
        <v>23.815177222222221</v>
      </c>
      <c r="D309">
        <f t="shared" si="9"/>
        <v>90.362090555555554</v>
      </c>
    </row>
    <row r="310" spans="1:4" x14ac:dyDescent="0.3">
      <c r="A310" t="s">
        <v>1312</v>
      </c>
      <c r="B310" t="s">
        <v>1806</v>
      </c>
      <c r="C310">
        <f t="shared" si="8"/>
        <v>23.815344722222221</v>
      </c>
      <c r="D310">
        <f t="shared" si="9"/>
        <v>90.371898055555548</v>
      </c>
    </row>
    <row r="311" spans="1:4" x14ac:dyDescent="0.3">
      <c r="A311" t="s">
        <v>1313</v>
      </c>
      <c r="B311" t="s">
        <v>1807</v>
      </c>
      <c r="C311">
        <f t="shared" si="8"/>
        <v>23.815511666666666</v>
      </c>
      <c r="D311">
        <f t="shared" si="9"/>
        <v>90.381705555555556</v>
      </c>
    </row>
    <row r="312" spans="1:4" x14ac:dyDescent="0.3">
      <c r="A312" t="s">
        <v>1314</v>
      </c>
      <c r="B312" t="s">
        <v>1808</v>
      </c>
      <c r="C312">
        <f t="shared" si="8"/>
        <v>23.815678055555555</v>
      </c>
      <c r="D312">
        <f t="shared" si="9"/>
        <v>90.391513055555563</v>
      </c>
    </row>
    <row r="313" spans="1:4" x14ac:dyDescent="0.3">
      <c r="A313" t="s">
        <v>1315</v>
      </c>
      <c r="B313" t="s">
        <v>1809</v>
      </c>
      <c r="C313">
        <f t="shared" si="8"/>
        <v>23.815843611111113</v>
      </c>
      <c r="D313">
        <f t="shared" si="9"/>
        <v>90.401320555555557</v>
      </c>
    </row>
    <row r="314" spans="1:4" x14ac:dyDescent="0.3">
      <c r="A314" t="s">
        <v>1316</v>
      </c>
      <c r="B314" t="s">
        <v>1810</v>
      </c>
      <c r="C314">
        <f t="shared" si="8"/>
        <v>23.816008611111112</v>
      </c>
      <c r="D314">
        <f t="shared" si="9"/>
        <v>90.411128333333338</v>
      </c>
    </row>
    <row r="315" spans="1:4" x14ac:dyDescent="0.3">
      <c r="A315" t="s">
        <v>1317</v>
      </c>
      <c r="B315" t="s">
        <v>1811</v>
      </c>
      <c r="C315">
        <f t="shared" si="8"/>
        <v>23.816173055555556</v>
      </c>
      <c r="D315">
        <f t="shared" si="9"/>
        <v>90.42093638888889</v>
      </c>
    </row>
    <row r="316" spans="1:4" x14ac:dyDescent="0.3">
      <c r="A316" t="s">
        <v>1318</v>
      </c>
      <c r="B316" t="s">
        <v>1812</v>
      </c>
      <c r="C316">
        <f t="shared" si="8"/>
        <v>23.816336944444444</v>
      </c>
      <c r="D316">
        <f t="shared" si="9"/>
        <v>90.43074416666667</v>
      </c>
    </row>
    <row r="317" spans="1:4" x14ac:dyDescent="0.3">
      <c r="A317" t="s">
        <v>1319</v>
      </c>
      <c r="B317" t="s">
        <v>1813</v>
      </c>
      <c r="C317">
        <f t="shared" si="8"/>
        <v>23.816500277777777</v>
      </c>
      <c r="D317">
        <f t="shared" si="9"/>
        <v>90.440552222222223</v>
      </c>
    </row>
    <row r="318" spans="1:4" x14ac:dyDescent="0.3">
      <c r="A318" t="s">
        <v>1320</v>
      </c>
      <c r="B318" t="s">
        <v>1814</v>
      </c>
      <c r="C318">
        <f t="shared" si="8"/>
        <v>23.816662777777779</v>
      </c>
      <c r="D318">
        <f t="shared" si="9"/>
        <v>90.450360277777776</v>
      </c>
    </row>
    <row r="319" spans="1:4" x14ac:dyDescent="0.3">
      <c r="A319" t="s">
        <v>1321</v>
      </c>
      <c r="B319" t="s">
        <v>1815</v>
      </c>
      <c r="C319">
        <f t="shared" si="8"/>
        <v>23.816824722222222</v>
      </c>
      <c r="D319">
        <f t="shared" si="9"/>
        <v>90.460168611111115</v>
      </c>
    </row>
    <row r="320" spans="1:4" x14ac:dyDescent="0.3">
      <c r="A320" t="s">
        <v>1322</v>
      </c>
      <c r="B320" t="s">
        <v>1816</v>
      </c>
      <c r="C320">
        <f t="shared" si="8"/>
        <v>23.81698611111111</v>
      </c>
      <c r="D320">
        <f t="shared" si="9"/>
        <v>90.469976666666668</v>
      </c>
    </row>
    <row r="321" spans="1:4" x14ac:dyDescent="0.3">
      <c r="A321" t="s">
        <v>1323</v>
      </c>
      <c r="B321" t="s">
        <v>1817</v>
      </c>
      <c r="C321">
        <f t="shared" si="8"/>
        <v>23.817146666666666</v>
      </c>
      <c r="D321">
        <f t="shared" si="9"/>
        <v>90.479785000000007</v>
      </c>
    </row>
    <row r="322" spans="1:4" x14ac:dyDescent="0.3">
      <c r="A322" t="s">
        <v>1324</v>
      </c>
      <c r="B322" t="s">
        <v>1818</v>
      </c>
      <c r="C322">
        <f t="shared" si="8"/>
        <v>23.817306666666667</v>
      </c>
      <c r="D322">
        <f t="shared" si="9"/>
        <v>90.489593611111118</v>
      </c>
    </row>
    <row r="323" spans="1:4" x14ac:dyDescent="0.3">
      <c r="A323" t="s">
        <v>1325</v>
      </c>
      <c r="B323" t="s">
        <v>1819</v>
      </c>
      <c r="C323">
        <f t="shared" ref="C323:C386" si="10">DecimalDegreesConverter(A323,,,,TRUE)</f>
        <v>23.817466388888889</v>
      </c>
      <c r="D323">
        <f t="shared" ref="D323:D386" si="11">DecimalDegreesConverter(B323,,,,TRUE)</f>
        <v>90.49940222222223</v>
      </c>
    </row>
    <row r="324" spans="1:4" x14ac:dyDescent="0.3">
      <c r="A324" t="s">
        <v>1326</v>
      </c>
      <c r="B324" t="s">
        <v>1820</v>
      </c>
      <c r="C324">
        <f t="shared" si="10"/>
        <v>23.817625</v>
      </c>
      <c r="D324">
        <f t="shared" si="11"/>
        <v>90.509210833333327</v>
      </c>
    </row>
    <row r="325" spans="1:4" x14ac:dyDescent="0.3">
      <c r="A325" t="s">
        <v>1327</v>
      </c>
      <c r="B325" t="s">
        <v>1821</v>
      </c>
      <c r="C325">
        <f t="shared" si="10"/>
        <v>23.823693611111111</v>
      </c>
      <c r="D325">
        <f t="shared" si="11"/>
        <v>90.332484444444447</v>
      </c>
    </row>
    <row r="326" spans="1:4" x14ac:dyDescent="0.3">
      <c r="A326" t="s">
        <v>1328</v>
      </c>
      <c r="B326" t="s">
        <v>1822</v>
      </c>
      <c r="C326">
        <f t="shared" si="10"/>
        <v>23.823863055555556</v>
      </c>
      <c r="D326">
        <f t="shared" si="11"/>
        <v>90.342292222222213</v>
      </c>
    </row>
    <row r="327" spans="1:4" x14ac:dyDescent="0.3">
      <c r="A327" t="s">
        <v>1329</v>
      </c>
      <c r="B327" t="s">
        <v>1823</v>
      </c>
      <c r="C327">
        <f t="shared" si="10"/>
        <v>23.824031944444446</v>
      </c>
      <c r="D327">
        <f t="shared" si="11"/>
        <v>90.352099999999993</v>
      </c>
    </row>
    <row r="328" spans="1:4" x14ac:dyDescent="0.3">
      <c r="A328" t="s">
        <v>1330</v>
      </c>
      <c r="B328" t="s">
        <v>1824</v>
      </c>
      <c r="C328">
        <f t="shared" si="10"/>
        <v>23.824200000000001</v>
      </c>
      <c r="D328">
        <f t="shared" si="11"/>
        <v>90.361908055555546</v>
      </c>
    </row>
    <row r="329" spans="1:4" x14ac:dyDescent="0.3">
      <c r="A329" t="s">
        <v>1331</v>
      </c>
      <c r="B329" t="s">
        <v>1825</v>
      </c>
      <c r="C329">
        <f t="shared" si="10"/>
        <v>23.824367777777777</v>
      </c>
      <c r="D329">
        <f t="shared" si="11"/>
        <v>90.371716111111098</v>
      </c>
    </row>
    <row r="330" spans="1:4" x14ac:dyDescent="0.3">
      <c r="A330" t="s">
        <v>1332</v>
      </c>
      <c r="B330" t="s">
        <v>1826</v>
      </c>
      <c r="C330">
        <f t="shared" si="10"/>
        <v>23.824534722222221</v>
      </c>
      <c r="D330">
        <f t="shared" si="11"/>
        <v>90.381524166666665</v>
      </c>
    </row>
    <row r="331" spans="1:4" x14ac:dyDescent="0.3">
      <c r="A331" t="s">
        <v>1333</v>
      </c>
      <c r="B331" t="s">
        <v>1827</v>
      </c>
      <c r="C331">
        <f t="shared" si="10"/>
        <v>23.824701111111111</v>
      </c>
      <c r="D331">
        <f t="shared" si="11"/>
        <v>90.391332500000004</v>
      </c>
    </row>
    <row r="332" spans="1:4" x14ac:dyDescent="0.3">
      <c r="A332" t="s">
        <v>1334</v>
      </c>
      <c r="B332" t="s">
        <v>1828</v>
      </c>
      <c r="C332">
        <f t="shared" si="10"/>
        <v>23.824866944444445</v>
      </c>
      <c r="D332">
        <f t="shared" si="11"/>
        <v>90.401140833333343</v>
      </c>
    </row>
    <row r="333" spans="1:4" x14ac:dyDescent="0.3">
      <c r="A333" t="s">
        <v>1335</v>
      </c>
      <c r="B333" t="s">
        <v>1829</v>
      </c>
      <c r="C333">
        <f t="shared" si="10"/>
        <v>23.825031944444444</v>
      </c>
      <c r="D333">
        <f t="shared" si="11"/>
        <v>90.410949166666668</v>
      </c>
    </row>
    <row r="334" spans="1:4" x14ac:dyDescent="0.3">
      <c r="A334" t="s">
        <v>1336</v>
      </c>
      <c r="B334" t="s">
        <v>1830</v>
      </c>
      <c r="C334">
        <f t="shared" si="10"/>
        <v>23.825196388888887</v>
      </c>
      <c r="D334">
        <f t="shared" si="11"/>
        <v>90.42075777777778</v>
      </c>
    </row>
    <row r="335" spans="1:4" x14ac:dyDescent="0.3">
      <c r="A335" t="s">
        <v>1337</v>
      </c>
      <c r="B335" t="s">
        <v>1831</v>
      </c>
      <c r="C335">
        <f t="shared" si="10"/>
        <v>23.825360277777779</v>
      </c>
      <c r="D335">
        <f t="shared" si="11"/>
        <v>90.430566388888892</v>
      </c>
    </row>
    <row r="336" spans="1:4" x14ac:dyDescent="0.3">
      <c r="A336" t="s">
        <v>1338</v>
      </c>
      <c r="B336" t="s">
        <v>1832</v>
      </c>
      <c r="C336">
        <f t="shared" si="10"/>
        <v>23.825523611111112</v>
      </c>
      <c r="D336">
        <f t="shared" si="11"/>
        <v>90.440375000000003</v>
      </c>
    </row>
    <row r="337" spans="1:4" x14ac:dyDescent="0.3">
      <c r="A337" t="s">
        <v>1339</v>
      </c>
      <c r="B337" t="s">
        <v>1833</v>
      </c>
      <c r="C337">
        <f t="shared" si="10"/>
        <v>23.82568638888889</v>
      </c>
      <c r="D337">
        <f t="shared" si="11"/>
        <v>90.450183888888887</v>
      </c>
    </row>
    <row r="338" spans="1:4" x14ac:dyDescent="0.3">
      <c r="A338" t="s">
        <v>1340</v>
      </c>
      <c r="B338" t="s">
        <v>1834</v>
      </c>
      <c r="C338">
        <f t="shared" si="10"/>
        <v>23.825848333333333</v>
      </c>
      <c r="D338">
        <f t="shared" si="11"/>
        <v>90.459992777777785</v>
      </c>
    </row>
    <row r="339" spans="1:4" x14ac:dyDescent="0.3">
      <c r="A339" t="s">
        <v>1341</v>
      </c>
      <c r="B339" t="s">
        <v>1835</v>
      </c>
      <c r="C339">
        <f t="shared" si="10"/>
        <v>23.826009722222221</v>
      </c>
      <c r="D339">
        <f t="shared" si="11"/>
        <v>90.469801666666669</v>
      </c>
    </row>
    <row r="340" spans="1:4" x14ac:dyDescent="0.3">
      <c r="A340" t="s">
        <v>1342</v>
      </c>
      <c r="B340" t="s">
        <v>1836</v>
      </c>
      <c r="C340">
        <f t="shared" si="10"/>
        <v>23.826170555555557</v>
      </c>
      <c r="D340">
        <f t="shared" si="11"/>
        <v>90.479610833333339</v>
      </c>
    </row>
    <row r="341" spans="1:4" x14ac:dyDescent="0.3">
      <c r="A341" t="s">
        <v>1343</v>
      </c>
      <c r="B341" t="s">
        <v>1837</v>
      </c>
      <c r="C341">
        <f t="shared" si="10"/>
        <v>23.826330555555554</v>
      </c>
      <c r="D341">
        <f t="shared" si="11"/>
        <v>90.489419999999996</v>
      </c>
    </row>
    <row r="342" spans="1:4" x14ac:dyDescent="0.3">
      <c r="A342" t="s">
        <v>1344</v>
      </c>
      <c r="B342" t="s">
        <v>1838</v>
      </c>
      <c r="C342">
        <f t="shared" si="10"/>
        <v>23.82649</v>
      </c>
      <c r="D342">
        <f t="shared" si="11"/>
        <v>90.499229166666666</v>
      </c>
    </row>
    <row r="343" spans="1:4" x14ac:dyDescent="0.3">
      <c r="A343" t="s">
        <v>1345</v>
      </c>
      <c r="B343" t="s">
        <v>1839</v>
      </c>
      <c r="C343">
        <f t="shared" si="10"/>
        <v>23.82664888888889</v>
      </c>
      <c r="D343">
        <f t="shared" si="11"/>
        <v>90.509038333333336</v>
      </c>
    </row>
    <row r="344" spans="1:4" x14ac:dyDescent="0.3">
      <c r="A344" t="s">
        <v>1346</v>
      </c>
      <c r="B344" t="s">
        <v>1840</v>
      </c>
      <c r="C344">
        <f t="shared" si="10"/>
        <v>23.832716111111111</v>
      </c>
      <c r="D344">
        <f t="shared" si="11"/>
        <v>90.332299722222217</v>
      </c>
    </row>
    <row r="345" spans="1:4" x14ac:dyDescent="0.3">
      <c r="A345" t="s">
        <v>1347</v>
      </c>
      <c r="B345" t="s">
        <v>1841</v>
      </c>
      <c r="C345">
        <f t="shared" si="10"/>
        <v>23.832885833333332</v>
      </c>
      <c r="D345">
        <f t="shared" si="11"/>
        <v>90.342108333333329</v>
      </c>
    </row>
    <row r="346" spans="1:4" x14ac:dyDescent="0.3">
      <c r="A346" t="s">
        <v>1348</v>
      </c>
      <c r="B346" t="s">
        <v>1842</v>
      </c>
      <c r="C346">
        <f t="shared" si="10"/>
        <v>23.833054722222222</v>
      </c>
      <c r="D346">
        <f t="shared" si="11"/>
        <v>90.35191694444444</v>
      </c>
    </row>
    <row r="347" spans="1:4" x14ac:dyDescent="0.3">
      <c r="A347" t="s">
        <v>1349</v>
      </c>
      <c r="B347" t="s">
        <v>1843</v>
      </c>
      <c r="C347">
        <f t="shared" si="10"/>
        <v>23.833223055555557</v>
      </c>
      <c r="D347">
        <f t="shared" si="11"/>
        <v>90.361725555555552</v>
      </c>
    </row>
    <row r="348" spans="1:4" x14ac:dyDescent="0.3">
      <c r="A348" t="s">
        <v>1350</v>
      </c>
      <c r="B348" t="s">
        <v>1844</v>
      </c>
      <c r="C348">
        <f t="shared" si="10"/>
        <v>23.833390555555553</v>
      </c>
      <c r="D348">
        <f t="shared" si="11"/>
        <v>90.371534166666663</v>
      </c>
    </row>
    <row r="349" spans="1:4" x14ac:dyDescent="0.3">
      <c r="A349" t="s">
        <v>1351</v>
      </c>
      <c r="B349" t="s">
        <v>1845</v>
      </c>
      <c r="C349">
        <f t="shared" si="10"/>
        <v>23.833557777777777</v>
      </c>
      <c r="D349">
        <f t="shared" si="11"/>
        <v>90.381343055555547</v>
      </c>
    </row>
    <row r="350" spans="1:4" x14ac:dyDescent="0.3">
      <c r="A350" t="s">
        <v>1352</v>
      </c>
      <c r="B350" t="s">
        <v>1846</v>
      </c>
      <c r="C350">
        <f t="shared" si="10"/>
        <v>23.833724166666666</v>
      </c>
      <c r="D350">
        <f t="shared" si="11"/>
        <v>90.391151944444445</v>
      </c>
    </row>
    <row r="351" spans="1:4" x14ac:dyDescent="0.3">
      <c r="A351" t="s">
        <v>1353</v>
      </c>
      <c r="B351" t="s">
        <v>1847</v>
      </c>
      <c r="C351">
        <f t="shared" si="10"/>
        <v>23.83389</v>
      </c>
      <c r="D351">
        <f t="shared" si="11"/>
        <v>90.400961111111116</v>
      </c>
    </row>
    <row r="352" spans="1:4" x14ac:dyDescent="0.3">
      <c r="A352" t="s">
        <v>1354</v>
      </c>
      <c r="B352" t="s">
        <v>1848</v>
      </c>
      <c r="C352">
        <f t="shared" si="10"/>
        <v>23.834055277777775</v>
      </c>
      <c r="D352">
        <f t="shared" si="11"/>
        <v>90.410769999999999</v>
      </c>
    </row>
    <row r="353" spans="1:4" x14ac:dyDescent="0.3">
      <c r="A353" t="s">
        <v>1355</v>
      </c>
      <c r="B353" t="s">
        <v>1849</v>
      </c>
      <c r="C353">
        <f t="shared" si="10"/>
        <v>23.834219722222223</v>
      </c>
      <c r="D353">
        <f t="shared" si="11"/>
        <v>90.42057916666667</v>
      </c>
    </row>
    <row r="354" spans="1:4" x14ac:dyDescent="0.3">
      <c r="A354" t="s">
        <v>1356</v>
      </c>
      <c r="B354" t="s">
        <v>1850</v>
      </c>
      <c r="C354">
        <f t="shared" si="10"/>
        <v>23.834383611111111</v>
      </c>
      <c r="D354">
        <f t="shared" si="11"/>
        <v>90.430388611111113</v>
      </c>
    </row>
    <row r="355" spans="1:4" x14ac:dyDescent="0.3">
      <c r="A355" t="s">
        <v>1357</v>
      </c>
      <c r="B355" t="s">
        <v>1851</v>
      </c>
      <c r="C355">
        <f t="shared" si="10"/>
        <v>23.834546944444444</v>
      </c>
      <c r="D355">
        <f t="shared" si="11"/>
        <v>90.440198055555555</v>
      </c>
    </row>
    <row r="356" spans="1:4" x14ac:dyDescent="0.3">
      <c r="A356" t="s">
        <v>1358</v>
      </c>
      <c r="B356" t="s">
        <v>1852</v>
      </c>
      <c r="C356">
        <f t="shared" si="10"/>
        <v>23.834709722222222</v>
      </c>
      <c r="D356">
        <f t="shared" si="11"/>
        <v>90.450007499999998</v>
      </c>
    </row>
    <row r="357" spans="1:4" x14ac:dyDescent="0.3">
      <c r="A357" t="s">
        <v>1359</v>
      </c>
      <c r="B357" t="s">
        <v>1853</v>
      </c>
      <c r="C357">
        <f t="shared" si="10"/>
        <v>23.834871944444444</v>
      </c>
      <c r="D357">
        <f t="shared" si="11"/>
        <v>90.459816944444441</v>
      </c>
    </row>
    <row r="358" spans="1:4" x14ac:dyDescent="0.3">
      <c r="A358" t="s">
        <v>1360</v>
      </c>
      <c r="B358" t="s">
        <v>1854</v>
      </c>
      <c r="C358">
        <f t="shared" si="10"/>
        <v>23.835033333333332</v>
      </c>
      <c r="D358">
        <f t="shared" si="11"/>
        <v>90.46962666666667</v>
      </c>
    </row>
    <row r="359" spans="1:4" x14ac:dyDescent="0.3">
      <c r="A359" t="s">
        <v>1361</v>
      </c>
      <c r="B359" t="s">
        <v>1855</v>
      </c>
      <c r="C359">
        <f t="shared" si="10"/>
        <v>23.835194166666664</v>
      </c>
      <c r="D359">
        <f t="shared" si="11"/>
        <v>90.479436388888885</v>
      </c>
    </row>
    <row r="360" spans="1:4" x14ac:dyDescent="0.3">
      <c r="A360" t="s">
        <v>1362</v>
      </c>
      <c r="B360" t="s">
        <v>1856</v>
      </c>
      <c r="C360">
        <f t="shared" si="10"/>
        <v>23.835354444444445</v>
      </c>
      <c r="D360">
        <f t="shared" si="11"/>
        <v>90.489246111111115</v>
      </c>
    </row>
    <row r="361" spans="1:4" x14ac:dyDescent="0.3">
      <c r="A361" t="s">
        <v>1363</v>
      </c>
      <c r="B361" t="s">
        <v>1857</v>
      </c>
      <c r="C361">
        <f t="shared" si="10"/>
        <v>23.835513888888887</v>
      </c>
      <c r="D361">
        <f t="shared" si="11"/>
        <v>90.499056111111116</v>
      </c>
    </row>
    <row r="362" spans="1:4" x14ac:dyDescent="0.3">
      <c r="A362" t="s">
        <v>1364</v>
      </c>
      <c r="B362" t="s">
        <v>1858</v>
      </c>
      <c r="C362">
        <f t="shared" si="10"/>
        <v>23.835672777777777</v>
      </c>
      <c r="D362">
        <f t="shared" si="11"/>
        <v>90.508865833333331</v>
      </c>
    </row>
    <row r="363" spans="1:4" x14ac:dyDescent="0.3">
      <c r="A363" t="s">
        <v>1365</v>
      </c>
      <c r="B363" t="s">
        <v>1859</v>
      </c>
      <c r="C363">
        <f t="shared" si="10"/>
        <v>23.841738888888887</v>
      </c>
      <c r="D363">
        <f t="shared" si="11"/>
        <v>90.332115000000002</v>
      </c>
    </row>
    <row r="364" spans="1:4" x14ac:dyDescent="0.3">
      <c r="A364" t="s">
        <v>1366</v>
      </c>
      <c r="B364" t="s">
        <v>1860</v>
      </c>
      <c r="C364">
        <f t="shared" si="10"/>
        <v>23.841908333333333</v>
      </c>
      <c r="D364">
        <f t="shared" si="11"/>
        <v>90.341924166666658</v>
      </c>
    </row>
    <row r="365" spans="1:4" x14ac:dyDescent="0.3">
      <c r="A365" t="s">
        <v>1367</v>
      </c>
      <c r="B365" t="s">
        <v>1861</v>
      </c>
      <c r="C365">
        <f t="shared" si="10"/>
        <v>23.842077499999998</v>
      </c>
      <c r="D365">
        <f t="shared" si="11"/>
        <v>90.351733333333328</v>
      </c>
    </row>
    <row r="366" spans="1:4" x14ac:dyDescent="0.3">
      <c r="A366" t="s">
        <v>1368</v>
      </c>
      <c r="B366" t="s">
        <v>1862</v>
      </c>
      <c r="C366">
        <f t="shared" si="10"/>
        <v>23.842245833333333</v>
      </c>
      <c r="D366">
        <f t="shared" si="11"/>
        <v>90.361542777777771</v>
      </c>
    </row>
    <row r="367" spans="1:4" x14ac:dyDescent="0.3">
      <c r="A367" t="s">
        <v>1369</v>
      </c>
      <c r="B367" t="s">
        <v>1863</v>
      </c>
      <c r="C367">
        <f t="shared" si="10"/>
        <v>23.842413611111109</v>
      </c>
      <c r="D367">
        <f t="shared" si="11"/>
        <v>90.371352222222214</v>
      </c>
    </row>
    <row r="368" spans="1:4" x14ac:dyDescent="0.3">
      <c r="A368" t="s">
        <v>1370</v>
      </c>
      <c r="B368" t="s">
        <v>1864</v>
      </c>
      <c r="C368">
        <f t="shared" si="10"/>
        <v>23.842580833333333</v>
      </c>
      <c r="D368">
        <f t="shared" si="11"/>
        <v>90.381161666666657</v>
      </c>
    </row>
    <row r="369" spans="1:4" x14ac:dyDescent="0.3">
      <c r="A369" t="s">
        <v>1371</v>
      </c>
      <c r="B369" t="s">
        <v>1865</v>
      </c>
      <c r="C369">
        <f t="shared" si="10"/>
        <v>23.842747222222222</v>
      </c>
      <c r="D369">
        <f t="shared" si="11"/>
        <v>90.3909713888889</v>
      </c>
    </row>
    <row r="370" spans="1:4" x14ac:dyDescent="0.3">
      <c r="A370" t="s">
        <v>1372</v>
      </c>
      <c r="B370" t="s">
        <v>1866</v>
      </c>
      <c r="C370">
        <f t="shared" si="10"/>
        <v>23.842913055555556</v>
      </c>
      <c r="D370">
        <f t="shared" si="11"/>
        <v>90.400781111111115</v>
      </c>
    </row>
    <row r="371" spans="1:4" x14ac:dyDescent="0.3">
      <c r="A371" t="s">
        <v>1373</v>
      </c>
      <c r="B371" t="s">
        <v>1867</v>
      </c>
      <c r="C371">
        <f t="shared" si="10"/>
        <v>23.843078333333331</v>
      </c>
      <c r="D371">
        <f t="shared" si="11"/>
        <v>90.410590833333345</v>
      </c>
    </row>
    <row r="372" spans="1:4" x14ac:dyDescent="0.3">
      <c r="A372" t="s">
        <v>1374</v>
      </c>
      <c r="B372" t="s">
        <v>1868</v>
      </c>
      <c r="C372">
        <f t="shared" si="10"/>
        <v>23.843243055555554</v>
      </c>
      <c r="D372">
        <f t="shared" si="11"/>
        <v>90.42040055555556</v>
      </c>
    </row>
    <row r="373" spans="1:4" x14ac:dyDescent="0.3">
      <c r="A373" t="s">
        <v>1375</v>
      </c>
      <c r="B373" t="s">
        <v>1869</v>
      </c>
      <c r="C373">
        <f t="shared" si="10"/>
        <v>23.843407222222222</v>
      </c>
      <c r="D373">
        <f t="shared" si="11"/>
        <v>90.430210555555561</v>
      </c>
    </row>
    <row r="374" spans="1:4" x14ac:dyDescent="0.3">
      <c r="A374" t="s">
        <v>1376</v>
      </c>
      <c r="B374" t="s">
        <v>1870</v>
      </c>
      <c r="C374">
        <f t="shared" si="10"/>
        <v>23.843570555555555</v>
      </c>
      <c r="D374">
        <f t="shared" si="11"/>
        <v>90.440020555555563</v>
      </c>
    </row>
    <row r="375" spans="1:4" x14ac:dyDescent="0.3">
      <c r="A375" t="s">
        <v>1377</v>
      </c>
      <c r="B375" t="s">
        <v>1871</v>
      </c>
      <c r="C375">
        <f t="shared" si="10"/>
        <v>23.843733333333333</v>
      </c>
      <c r="D375">
        <f t="shared" si="11"/>
        <v>90.449830833333337</v>
      </c>
    </row>
    <row r="376" spans="1:4" x14ac:dyDescent="0.3">
      <c r="A376" t="s">
        <v>1378</v>
      </c>
      <c r="B376" t="s">
        <v>1872</v>
      </c>
      <c r="C376">
        <f t="shared" si="10"/>
        <v>23.843895277777776</v>
      </c>
      <c r="D376">
        <f t="shared" si="11"/>
        <v>90.459641111111111</v>
      </c>
    </row>
    <row r="377" spans="1:4" x14ac:dyDescent="0.3">
      <c r="A377" t="s">
        <v>1379</v>
      </c>
      <c r="B377" t="s">
        <v>1873</v>
      </c>
      <c r="C377">
        <f t="shared" si="10"/>
        <v>23.844056944444443</v>
      </c>
      <c r="D377">
        <f t="shared" si="11"/>
        <v>90.469451388888885</v>
      </c>
    </row>
    <row r="378" spans="1:4" x14ac:dyDescent="0.3">
      <c r="A378" t="s">
        <v>1380</v>
      </c>
      <c r="B378" t="s">
        <v>1874</v>
      </c>
      <c r="C378">
        <f t="shared" si="10"/>
        <v>23.844217777777775</v>
      </c>
      <c r="D378">
        <f t="shared" si="11"/>
        <v>90.479261666666673</v>
      </c>
    </row>
    <row r="379" spans="1:4" x14ac:dyDescent="0.3">
      <c r="A379" t="s">
        <v>1381</v>
      </c>
      <c r="B379" t="s">
        <v>1875</v>
      </c>
      <c r="C379">
        <f t="shared" si="10"/>
        <v>23.844378055555556</v>
      </c>
      <c r="D379">
        <f t="shared" si="11"/>
        <v>90.489072222222219</v>
      </c>
    </row>
    <row r="380" spans="1:4" x14ac:dyDescent="0.3">
      <c r="A380" t="s">
        <v>1382</v>
      </c>
      <c r="B380" t="s">
        <v>1876</v>
      </c>
      <c r="C380">
        <f t="shared" si="10"/>
        <v>23.844537777777777</v>
      </c>
      <c r="D380">
        <f t="shared" si="11"/>
        <v>90.49888277777778</v>
      </c>
    </row>
    <row r="381" spans="1:4" x14ac:dyDescent="0.3">
      <c r="A381" t="s">
        <v>1383</v>
      </c>
      <c r="B381" t="s">
        <v>1877</v>
      </c>
      <c r="C381">
        <f t="shared" si="10"/>
        <v>23.844696944444443</v>
      </c>
      <c r="D381">
        <f t="shared" si="11"/>
        <v>90.508693333333326</v>
      </c>
    </row>
    <row r="382" spans="1:4" x14ac:dyDescent="0.3">
      <c r="A382" t="s">
        <v>1384</v>
      </c>
      <c r="B382" t="s">
        <v>1878</v>
      </c>
      <c r="C382">
        <f t="shared" si="10"/>
        <v>23.850761388888891</v>
      </c>
      <c r="D382">
        <f t="shared" si="11"/>
        <v>90.331930277777772</v>
      </c>
    </row>
    <row r="383" spans="1:4" x14ac:dyDescent="0.3">
      <c r="A383" t="s">
        <v>1385</v>
      </c>
      <c r="B383" t="s">
        <v>1879</v>
      </c>
      <c r="C383">
        <f t="shared" si="10"/>
        <v>23.850931111111112</v>
      </c>
      <c r="D383">
        <f t="shared" si="11"/>
        <v>90.341740000000001</v>
      </c>
    </row>
    <row r="384" spans="1:4" x14ac:dyDescent="0.3">
      <c r="A384" t="s">
        <v>1386</v>
      </c>
      <c r="B384" t="s">
        <v>1880</v>
      </c>
      <c r="C384">
        <f t="shared" si="10"/>
        <v>23.851100277777778</v>
      </c>
      <c r="D384">
        <f t="shared" si="11"/>
        <v>90.351549999999989</v>
      </c>
    </row>
    <row r="385" spans="1:4" x14ac:dyDescent="0.3">
      <c r="A385" t="s">
        <v>1387</v>
      </c>
      <c r="B385" t="s">
        <v>1881</v>
      </c>
      <c r="C385">
        <f t="shared" si="10"/>
        <v>23.851268611111113</v>
      </c>
      <c r="D385">
        <f t="shared" si="11"/>
        <v>90.361359999999991</v>
      </c>
    </row>
    <row r="386" spans="1:4" x14ac:dyDescent="0.3">
      <c r="A386" t="s">
        <v>1388</v>
      </c>
      <c r="B386" t="s">
        <v>1882</v>
      </c>
      <c r="C386">
        <f t="shared" si="10"/>
        <v>23.851436388888889</v>
      </c>
      <c r="D386">
        <f t="shared" si="11"/>
        <v>90.371169999999992</v>
      </c>
    </row>
    <row r="387" spans="1:4" x14ac:dyDescent="0.3">
      <c r="A387" t="s">
        <v>1389</v>
      </c>
      <c r="B387" t="s">
        <v>1883</v>
      </c>
      <c r="C387">
        <f t="shared" ref="C387:C450" si="12">DecimalDegreesConverter(A387,,,,TRUE)</f>
        <v>23.851603611111113</v>
      </c>
      <c r="D387">
        <f t="shared" ref="D387:D450" si="13">DecimalDegreesConverter(B387,,,,TRUE)</f>
        <v>90.380980277777766</v>
      </c>
    </row>
    <row r="388" spans="1:4" x14ac:dyDescent="0.3">
      <c r="A388" t="s">
        <v>1390</v>
      </c>
      <c r="B388" t="s">
        <v>1884</v>
      </c>
      <c r="C388">
        <f t="shared" si="12"/>
        <v>23.851770277777778</v>
      </c>
      <c r="D388">
        <f t="shared" si="13"/>
        <v>90.390790555555569</v>
      </c>
    </row>
    <row r="389" spans="1:4" x14ac:dyDescent="0.3">
      <c r="A389" t="s">
        <v>1391</v>
      </c>
      <c r="B389" t="s">
        <v>1885</v>
      </c>
      <c r="C389">
        <f t="shared" si="12"/>
        <v>23.851936388888891</v>
      </c>
      <c r="D389">
        <f t="shared" si="13"/>
        <v>90.400600833333343</v>
      </c>
    </row>
    <row r="390" spans="1:4" x14ac:dyDescent="0.3">
      <c r="A390" t="s">
        <v>1392</v>
      </c>
      <c r="B390" t="s">
        <v>1886</v>
      </c>
      <c r="C390">
        <f t="shared" si="12"/>
        <v>23.85210166666667</v>
      </c>
      <c r="D390">
        <f t="shared" si="13"/>
        <v>90.410411388888889</v>
      </c>
    </row>
    <row r="391" spans="1:4" x14ac:dyDescent="0.3">
      <c r="A391" t="s">
        <v>1393</v>
      </c>
      <c r="B391" t="s">
        <v>1887</v>
      </c>
      <c r="C391">
        <f t="shared" si="12"/>
        <v>23.852266388888889</v>
      </c>
      <c r="D391">
        <f t="shared" si="13"/>
        <v>90.420221944444449</v>
      </c>
    </row>
    <row r="392" spans="1:4" x14ac:dyDescent="0.3">
      <c r="A392" t="s">
        <v>1394</v>
      </c>
      <c r="B392" t="s">
        <v>1888</v>
      </c>
      <c r="C392">
        <f t="shared" si="12"/>
        <v>23.852430555555557</v>
      </c>
      <c r="D392">
        <f t="shared" si="13"/>
        <v>90.43003250000001</v>
      </c>
    </row>
    <row r="393" spans="1:4" x14ac:dyDescent="0.3">
      <c r="A393" t="s">
        <v>1395</v>
      </c>
      <c r="B393" t="s">
        <v>1889</v>
      </c>
      <c r="C393">
        <f t="shared" si="12"/>
        <v>23.85259388888889</v>
      </c>
      <c r="D393">
        <f t="shared" si="13"/>
        <v>90.439843333333343</v>
      </c>
    </row>
    <row r="394" spans="1:4" x14ac:dyDescent="0.3">
      <c r="A394" t="s">
        <v>1396</v>
      </c>
      <c r="B394" t="s">
        <v>1890</v>
      </c>
      <c r="C394">
        <f t="shared" si="12"/>
        <v>23.852756666666668</v>
      </c>
      <c r="D394">
        <f t="shared" si="13"/>
        <v>90.449654166666676</v>
      </c>
    </row>
    <row r="395" spans="1:4" x14ac:dyDescent="0.3">
      <c r="A395" t="s">
        <v>1397</v>
      </c>
      <c r="B395" t="s">
        <v>1891</v>
      </c>
      <c r="C395">
        <f t="shared" si="12"/>
        <v>23.85291888888889</v>
      </c>
      <c r="D395">
        <f t="shared" si="13"/>
        <v>90.459465000000009</v>
      </c>
    </row>
    <row r="396" spans="1:4" x14ac:dyDescent="0.3">
      <c r="A396" t="s">
        <v>1398</v>
      </c>
      <c r="B396" t="s">
        <v>1892</v>
      </c>
      <c r="C396">
        <f t="shared" si="12"/>
        <v>23.853080555555557</v>
      </c>
      <c r="D396">
        <f t="shared" si="13"/>
        <v>90.469276111111114</v>
      </c>
    </row>
    <row r="397" spans="1:4" x14ac:dyDescent="0.3">
      <c r="A397" t="s">
        <v>1399</v>
      </c>
      <c r="B397" t="s">
        <v>1893</v>
      </c>
      <c r="C397">
        <f t="shared" si="12"/>
        <v>23.85324138888889</v>
      </c>
      <c r="D397">
        <f t="shared" si="13"/>
        <v>90.479087222222219</v>
      </c>
    </row>
    <row r="398" spans="1:4" x14ac:dyDescent="0.3">
      <c r="A398" t="s">
        <v>1400</v>
      </c>
      <c r="B398" t="s">
        <v>1894</v>
      </c>
      <c r="C398">
        <f t="shared" si="12"/>
        <v>23.853401944444446</v>
      </c>
      <c r="D398">
        <f t="shared" si="13"/>
        <v>90.488898333333339</v>
      </c>
    </row>
    <row r="399" spans="1:4" x14ac:dyDescent="0.3">
      <c r="A399" t="s">
        <v>1401</v>
      </c>
      <c r="B399" t="s">
        <v>1895</v>
      </c>
      <c r="C399">
        <f t="shared" si="12"/>
        <v>23.853561666666668</v>
      </c>
      <c r="D399">
        <f t="shared" si="13"/>
        <v>90.498709444444444</v>
      </c>
    </row>
    <row r="400" spans="1:4" x14ac:dyDescent="0.3">
      <c r="A400" t="s">
        <v>1402</v>
      </c>
      <c r="B400" t="s">
        <v>1896</v>
      </c>
      <c r="C400">
        <f t="shared" si="12"/>
        <v>23.853720833333334</v>
      </c>
      <c r="D400">
        <f t="shared" si="13"/>
        <v>90.508520833333336</v>
      </c>
    </row>
    <row r="401" spans="1:4" x14ac:dyDescent="0.3">
      <c r="A401" t="s">
        <v>1403</v>
      </c>
      <c r="B401" t="s">
        <v>1897</v>
      </c>
      <c r="C401">
        <f t="shared" si="12"/>
        <v>23.859784166666667</v>
      </c>
      <c r="D401">
        <f t="shared" si="13"/>
        <v>90.33174527777777</v>
      </c>
    </row>
    <row r="402" spans="1:4" x14ac:dyDescent="0.3">
      <c r="A402" t="s">
        <v>1404</v>
      </c>
      <c r="B402" t="s">
        <v>1898</v>
      </c>
      <c r="C402">
        <f t="shared" si="12"/>
        <v>23.859953888888889</v>
      </c>
      <c r="D402">
        <f t="shared" si="13"/>
        <v>90.341555833333331</v>
      </c>
    </row>
    <row r="403" spans="1:4" x14ac:dyDescent="0.3">
      <c r="A403" t="s">
        <v>1405</v>
      </c>
      <c r="B403" t="s">
        <v>1899</v>
      </c>
      <c r="C403">
        <f t="shared" si="12"/>
        <v>23.860123055555558</v>
      </c>
      <c r="D403">
        <f t="shared" si="13"/>
        <v>90.351366388888877</v>
      </c>
    </row>
    <row r="404" spans="1:4" x14ac:dyDescent="0.3">
      <c r="A404" t="s">
        <v>1406</v>
      </c>
      <c r="B404" t="s">
        <v>1900</v>
      </c>
      <c r="C404">
        <f t="shared" si="12"/>
        <v>23.860291388888889</v>
      </c>
      <c r="D404">
        <f t="shared" si="13"/>
        <v>90.36117722222221</v>
      </c>
    </row>
    <row r="405" spans="1:4" x14ac:dyDescent="0.3">
      <c r="A405" t="s">
        <v>1407</v>
      </c>
      <c r="B405" t="s">
        <v>1901</v>
      </c>
      <c r="C405">
        <f t="shared" si="12"/>
        <v>23.860459444444444</v>
      </c>
      <c r="D405">
        <f t="shared" si="13"/>
        <v>90.370988055555543</v>
      </c>
    </row>
    <row r="406" spans="1:4" x14ac:dyDescent="0.3">
      <c r="A406" t="s">
        <v>1408</v>
      </c>
      <c r="B406" t="s">
        <v>1902</v>
      </c>
      <c r="C406">
        <f t="shared" si="12"/>
        <v>23.860626666666668</v>
      </c>
      <c r="D406">
        <f t="shared" si="13"/>
        <v>90.380798888888876</v>
      </c>
    </row>
    <row r="407" spans="1:4" x14ac:dyDescent="0.3">
      <c r="A407" t="s">
        <v>1409</v>
      </c>
      <c r="B407" t="s">
        <v>1903</v>
      </c>
      <c r="C407">
        <f t="shared" si="12"/>
        <v>23.860793333333334</v>
      </c>
      <c r="D407">
        <f t="shared" si="13"/>
        <v>90.390609722222223</v>
      </c>
    </row>
    <row r="408" spans="1:4" x14ac:dyDescent="0.3">
      <c r="A408" t="s">
        <v>1410</v>
      </c>
      <c r="B408" t="s">
        <v>1904</v>
      </c>
      <c r="C408">
        <f t="shared" si="12"/>
        <v>23.860959444444447</v>
      </c>
      <c r="D408">
        <f t="shared" si="13"/>
        <v>90.400420833333342</v>
      </c>
    </row>
    <row r="409" spans="1:4" x14ac:dyDescent="0.3">
      <c r="A409" t="s">
        <v>1411</v>
      </c>
      <c r="B409" t="s">
        <v>1905</v>
      </c>
      <c r="C409">
        <f t="shared" si="12"/>
        <v>23.861124722222225</v>
      </c>
      <c r="D409">
        <f t="shared" si="13"/>
        <v>90.410231944444448</v>
      </c>
    </row>
    <row r="410" spans="1:4" x14ac:dyDescent="0.3">
      <c r="A410" t="s">
        <v>1412</v>
      </c>
      <c r="B410" t="s">
        <v>1906</v>
      </c>
      <c r="C410">
        <f t="shared" si="12"/>
        <v>23.861289722222224</v>
      </c>
      <c r="D410">
        <f t="shared" si="13"/>
        <v>90.420043055555567</v>
      </c>
    </row>
    <row r="411" spans="1:4" x14ac:dyDescent="0.3">
      <c r="A411" t="s">
        <v>1413</v>
      </c>
      <c r="B411" t="s">
        <v>1907</v>
      </c>
      <c r="C411">
        <f t="shared" si="12"/>
        <v>23.861453888888889</v>
      </c>
      <c r="D411">
        <f t="shared" si="13"/>
        <v>90.429854444444445</v>
      </c>
    </row>
    <row r="412" spans="1:4" x14ac:dyDescent="0.3">
      <c r="A412" t="s">
        <v>1414</v>
      </c>
      <c r="B412" t="s">
        <v>1908</v>
      </c>
      <c r="C412">
        <f t="shared" si="12"/>
        <v>23.861617222222225</v>
      </c>
      <c r="D412">
        <f t="shared" si="13"/>
        <v>90.439665833333336</v>
      </c>
    </row>
    <row r="413" spans="1:4" x14ac:dyDescent="0.3">
      <c r="A413" t="s">
        <v>1415</v>
      </c>
      <c r="B413" t="s">
        <v>1909</v>
      </c>
      <c r="C413">
        <f t="shared" si="12"/>
        <v>23.861780277777779</v>
      </c>
      <c r="D413">
        <f t="shared" si="13"/>
        <v>90.4494775</v>
      </c>
    </row>
    <row r="414" spans="1:4" x14ac:dyDescent="0.3">
      <c r="A414" t="s">
        <v>1416</v>
      </c>
      <c r="B414" t="s">
        <v>1910</v>
      </c>
      <c r="C414">
        <f t="shared" si="12"/>
        <v>23.861942500000001</v>
      </c>
      <c r="D414">
        <f t="shared" si="13"/>
        <v>90.459288888888892</v>
      </c>
    </row>
    <row r="415" spans="1:4" x14ac:dyDescent="0.3">
      <c r="A415" t="s">
        <v>1417</v>
      </c>
      <c r="B415" t="s">
        <v>1911</v>
      </c>
      <c r="C415">
        <f t="shared" si="12"/>
        <v>23.862104166666668</v>
      </c>
      <c r="D415">
        <f t="shared" si="13"/>
        <v>90.469100555555556</v>
      </c>
    </row>
    <row r="416" spans="1:4" x14ac:dyDescent="0.3">
      <c r="A416" t="s">
        <v>1418</v>
      </c>
      <c r="B416" t="s">
        <v>1912</v>
      </c>
      <c r="C416">
        <f t="shared" si="12"/>
        <v>23.86226527777778</v>
      </c>
      <c r="D416">
        <f t="shared" si="13"/>
        <v>90.478912500000007</v>
      </c>
    </row>
    <row r="417" spans="1:4" x14ac:dyDescent="0.3">
      <c r="A417" t="s">
        <v>1419</v>
      </c>
      <c r="B417" t="s">
        <v>1913</v>
      </c>
      <c r="C417">
        <f t="shared" si="12"/>
        <v>23.862425555555557</v>
      </c>
      <c r="D417">
        <f t="shared" si="13"/>
        <v>90.488724166666671</v>
      </c>
    </row>
    <row r="418" spans="1:4" x14ac:dyDescent="0.3">
      <c r="A418" t="s">
        <v>1420</v>
      </c>
      <c r="B418" t="s">
        <v>1914</v>
      </c>
      <c r="C418">
        <f t="shared" si="12"/>
        <v>23.862585277777779</v>
      </c>
      <c r="D418">
        <f t="shared" si="13"/>
        <v>90.498536111111108</v>
      </c>
    </row>
    <row r="419" spans="1:4" x14ac:dyDescent="0.3">
      <c r="A419" t="s">
        <v>1421</v>
      </c>
      <c r="B419" t="s">
        <v>1915</v>
      </c>
      <c r="C419">
        <f t="shared" si="12"/>
        <v>23.862744444444445</v>
      </c>
      <c r="D419">
        <f t="shared" si="13"/>
        <v>90.508348055555558</v>
      </c>
    </row>
    <row r="420" spans="1:4" x14ac:dyDescent="0.3">
      <c r="A420" t="s">
        <v>1422</v>
      </c>
      <c r="B420" t="s">
        <v>1916</v>
      </c>
      <c r="C420">
        <f t="shared" si="12"/>
        <v>23.868806666666668</v>
      </c>
      <c r="D420">
        <f t="shared" si="13"/>
        <v>90.331560277777768</v>
      </c>
    </row>
    <row r="421" spans="1:4" x14ac:dyDescent="0.3">
      <c r="A421" t="s">
        <v>1423</v>
      </c>
      <c r="B421" t="s">
        <v>1917</v>
      </c>
      <c r="C421">
        <f t="shared" si="12"/>
        <v>23.868976388888889</v>
      </c>
      <c r="D421">
        <f t="shared" si="13"/>
        <v>90.34137166666666</v>
      </c>
    </row>
    <row r="422" spans="1:4" x14ac:dyDescent="0.3">
      <c r="A422" t="s">
        <v>1424</v>
      </c>
      <c r="B422" t="s">
        <v>1918</v>
      </c>
      <c r="C422">
        <f t="shared" si="12"/>
        <v>23.869145833333334</v>
      </c>
      <c r="D422">
        <f t="shared" si="13"/>
        <v>90.351182777777765</v>
      </c>
    </row>
    <row r="423" spans="1:4" x14ac:dyDescent="0.3">
      <c r="A423" t="s">
        <v>1425</v>
      </c>
      <c r="B423" t="s">
        <v>1919</v>
      </c>
      <c r="C423">
        <f t="shared" si="12"/>
        <v>23.869314444444445</v>
      </c>
      <c r="D423">
        <f t="shared" si="13"/>
        <v>90.360994166666657</v>
      </c>
    </row>
    <row r="424" spans="1:4" x14ac:dyDescent="0.3">
      <c r="A424" t="s">
        <v>1426</v>
      </c>
      <c r="B424" t="s">
        <v>1920</v>
      </c>
      <c r="C424">
        <f t="shared" si="12"/>
        <v>23.869482222222224</v>
      </c>
      <c r="D424">
        <f t="shared" si="13"/>
        <v>90.370805555555549</v>
      </c>
    </row>
    <row r="425" spans="1:4" x14ac:dyDescent="0.3">
      <c r="A425" t="s">
        <v>1427</v>
      </c>
      <c r="B425" t="s">
        <v>1921</v>
      </c>
      <c r="C425">
        <f t="shared" si="12"/>
        <v>23.869649722222224</v>
      </c>
      <c r="D425">
        <f t="shared" si="13"/>
        <v>90.380617222222213</v>
      </c>
    </row>
    <row r="426" spans="1:4" x14ac:dyDescent="0.3">
      <c r="A426" t="s">
        <v>1428</v>
      </c>
      <c r="B426" t="s">
        <v>1922</v>
      </c>
      <c r="C426">
        <f t="shared" si="12"/>
        <v>23.869816388888889</v>
      </c>
      <c r="D426">
        <f t="shared" si="13"/>
        <v>90.390428888888891</v>
      </c>
    </row>
    <row r="427" spans="1:4" x14ac:dyDescent="0.3">
      <c r="A427" t="s">
        <v>1429</v>
      </c>
      <c r="B427" t="s">
        <v>1923</v>
      </c>
      <c r="C427">
        <f t="shared" si="12"/>
        <v>23.869982499999999</v>
      </c>
      <c r="D427">
        <f t="shared" si="13"/>
        <v>90.400240555555555</v>
      </c>
    </row>
    <row r="428" spans="1:4" x14ac:dyDescent="0.3">
      <c r="A428" t="s">
        <v>1430</v>
      </c>
      <c r="B428" t="s">
        <v>1924</v>
      </c>
      <c r="C428">
        <f t="shared" si="12"/>
        <v>23.870148055555557</v>
      </c>
      <c r="D428">
        <f t="shared" si="13"/>
        <v>90.410052500000006</v>
      </c>
    </row>
    <row r="429" spans="1:4" x14ac:dyDescent="0.3">
      <c r="A429" t="s">
        <v>1431</v>
      </c>
      <c r="B429" t="s">
        <v>1925</v>
      </c>
      <c r="C429">
        <f t="shared" si="12"/>
        <v>23.870312777777777</v>
      </c>
      <c r="D429">
        <f t="shared" si="13"/>
        <v>90.41986416666667</v>
      </c>
    </row>
    <row r="430" spans="1:4" x14ac:dyDescent="0.3">
      <c r="A430" t="s">
        <v>1432</v>
      </c>
      <c r="B430" t="s">
        <v>1926</v>
      </c>
      <c r="C430">
        <f t="shared" si="12"/>
        <v>23.870476944444444</v>
      </c>
      <c r="D430">
        <f t="shared" si="13"/>
        <v>90.429676388888893</v>
      </c>
    </row>
    <row r="431" spans="1:4" x14ac:dyDescent="0.3">
      <c r="A431" t="s">
        <v>1433</v>
      </c>
      <c r="B431" t="s">
        <v>1927</v>
      </c>
      <c r="C431">
        <f t="shared" si="12"/>
        <v>23.870640555555557</v>
      </c>
      <c r="D431">
        <f t="shared" si="13"/>
        <v>90.439488333333344</v>
      </c>
    </row>
    <row r="432" spans="1:4" x14ac:dyDescent="0.3">
      <c r="A432" t="s">
        <v>1434</v>
      </c>
      <c r="B432" t="s">
        <v>1928</v>
      </c>
      <c r="C432">
        <f t="shared" si="12"/>
        <v>23.870803611111111</v>
      </c>
      <c r="D432">
        <f t="shared" si="13"/>
        <v>90.449300555555553</v>
      </c>
    </row>
    <row r="433" spans="1:4" x14ac:dyDescent="0.3">
      <c r="A433" t="s">
        <v>1435</v>
      </c>
      <c r="B433" t="s">
        <v>1929</v>
      </c>
      <c r="C433">
        <f t="shared" si="12"/>
        <v>23.870966111111112</v>
      </c>
      <c r="D433">
        <f t="shared" si="13"/>
        <v>90.459112777777776</v>
      </c>
    </row>
    <row r="434" spans="1:4" x14ac:dyDescent="0.3">
      <c r="A434" t="s">
        <v>1436</v>
      </c>
      <c r="B434" t="s">
        <v>1930</v>
      </c>
      <c r="C434">
        <f t="shared" si="12"/>
        <v>23.871127777777779</v>
      </c>
      <c r="D434">
        <f t="shared" si="13"/>
        <v>90.468925277777785</v>
      </c>
    </row>
    <row r="435" spans="1:4" x14ac:dyDescent="0.3">
      <c r="A435" t="s">
        <v>1437</v>
      </c>
      <c r="B435" t="s">
        <v>1931</v>
      </c>
      <c r="C435">
        <f t="shared" si="12"/>
        <v>23.871288888888888</v>
      </c>
      <c r="D435">
        <f t="shared" si="13"/>
        <v>90.478737500000008</v>
      </c>
    </row>
    <row r="436" spans="1:4" x14ac:dyDescent="0.3">
      <c r="A436" t="s">
        <v>1438</v>
      </c>
      <c r="B436" t="s">
        <v>1932</v>
      </c>
      <c r="C436">
        <f t="shared" si="12"/>
        <v>23.871449444444444</v>
      </c>
      <c r="D436">
        <f t="shared" si="13"/>
        <v>90.488550000000004</v>
      </c>
    </row>
    <row r="437" spans="1:4" x14ac:dyDescent="0.3">
      <c r="A437" t="s">
        <v>1439</v>
      </c>
      <c r="B437" t="s">
        <v>1933</v>
      </c>
      <c r="C437">
        <f t="shared" si="12"/>
        <v>23.871609166666666</v>
      </c>
      <c r="D437">
        <f t="shared" si="13"/>
        <v>90.498362777777785</v>
      </c>
    </row>
    <row r="438" spans="1:4" x14ac:dyDescent="0.3">
      <c r="A438" t="s">
        <v>1440</v>
      </c>
      <c r="B438" t="s">
        <v>1934</v>
      </c>
      <c r="C438">
        <f t="shared" si="12"/>
        <v>23.871768333333335</v>
      </c>
      <c r="D438">
        <f t="shared" si="13"/>
        <v>90.508175277777781</v>
      </c>
    </row>
    <row r="439" spans="1:4" x14ac:dyDescent="0.3">
      <c r="A439" t="s">
        <v>1441</v>
      </c>
      <c r="B439" t="s">
        <v>1935</v>
      </c>
      <c r="C439">
        <f t="shared" si="12"/>
        <v>23.877829166666668</v>
      </c>
      <c r="D439">
        <f t="shared" si="13"/>
        <v>90.331375277777781</v>
      </c>
    </row>
    <row r="440" spans="1:4" x14ac:dyDescent="0.3">
      <c r="A440" t="s">
        <v>1442</v>
      </c>
      <c r="B440" t="s">
        <v>1936</v>
      </c>
      <c r="C440">
        <f t="shared" si="12"/>
        <v>23.877999166666669</v>
      </c>
      <c r="D440">
        <f t="shared" si="13"/>
        <v>90.341187222222217</v>
      </c>
    </row>
    <row r="441" spans="1:4" x14ac:dyDescent="0.3">
      <c r="A441" t="s">
        <v>1443</v>
      </c>
      <c r="B441" t="s">
        <v>1937</v>
      </c>
      <c r="C441">
        <f t="shared" si="12"/>
        <v>23.878168611111111</v>
      </c>
      <c r="D441">
        <f t="shared" si="13"/>
        <v>90.350999166666668</v>
      </c>
    </row>
    <row r="442" spans="1:4" x14ac:dyDescent="0.3">
      <c r="A442" t="s">
        <v>1444</v>
      </c>
      <c r="B442" t="s">
        <v>1938</v>
      </c>
      <c r="C442">
        <f t="shared" si="12"/>
        <v>23.878337222222221</v>
      </c>
      <c r="D442">
        <f t="shared" si="13"/>
        <v>90.360811111111104</v>
      </c>
    </row>
    <row r="443" spans="1:4" x14ac:dyDescent="0.3">
      <c r="A443" t="s">
        <v>1445</v>
      </c>
      <c r="B443" t="s">
        <v>1939</v>
      </c>
      <c r="C443">
        <f t="shared" si="12"/>
        <v>23.87850527777778</v>
      </c>
      <c r="D443">
        <f t="shared" si="13"/>
        <v>90.370623333333327</v>
      </c>
    </row>
    <row r="444" spans="1:4" x14ac:dyDescent="0.3">
      <c r="A444" t="s">
        <v>1446</v>
      </c>
      <c r="B444" t="s">
        <v>1940</v>
      </c>
      <c r="C444">
        <f t="shared" si="12"/>
        <v>23.8786725</v>
      </c>
      <c r="D444">
        <f t="shared" si="13"/>
        <v>90.38043555555555</v>
      </c>
    </row>
    <row r="445" spans="1:4" x14ac:dyDescent="0.3">
      <c r="A445" t="s">
        <v>1447</v>
      </c>
      <c r="B445" t="s">
        <v>1941</v>
      </c>
      <c r="C445">
        <f t="shared" si="12"/>
        <v>23.878839444444445</v>
      </c>
      <c r="D445">
        <f t="shared" si="13"/>
        <v>90.390247777777788</v>
      </c>
    </row>
    <row r="446" spans="1:4" x14ac:dyDescent="0.3">
      <c r="A446" t="s">
        <v>1448</v>
      </c>
      <c r="B446" t="s">
        <v>1942</v>
      </c>
      <c r="C446">
        <f t="shared" si="12"/>
        <v>23.879005555555555</v>
      </c>
      <c r="D446">
        <f t="shared" si="13"/>
        <v>90.400060277777783</v>
      </c>
    </row>
    <row r="447" spans="1:4" x14ac:dyDescent="0.3">
      <c r="A447" t="s">
        <v>1449</v>
      </c>
      <c r="B447" t="s">
        <v>1943</v>
      </c>
      <c r="C447">
        <f t="shared" si="12"/>
        <v>23.879171111111113</v>
      </c>
      <c r="D447">
        <f t="shared" si="13"/>
        <v>90.409872777777778</v>
      </c>
    </row>
    <row r="448" spans="1:4" x14ac:dyDescent="0.3">
      <c r="A448" t="s">
        <v>1450</v>
      </c>
      <c r="B448" t="s">
        <v>1944</v>
      </c>
      <c r="C448">
        <f t="shared" si="12"/>
        <v>23.879336111111112</v>
      </c>
      <c r="D448">
        <f t="shared" si="13"/>
        <v>90.419685277777788</v>
      </c>
    </row>
    <row r="449" spans="1:4" x14ac:dyDescent="0.3">
      <c r="A449" t="s">
        <v>1451</v>
      </c>
      <c r="B449" t="s">
        <v>1945</v>
      </c>
      <c r="C449">
        <f t="shared" si="12"/>
        <v>23.87950027777778</v>
      </c>
      <c r="D449">
        <f t="shared" si="13"/>
        <v>90.429498055555555</v>
      </c>
    </row>
    <row r="450" spans="1:4" x14ac:dyDescent="0.3">
      <c r="A450" t="s">
        <v>1452</v>
      </c>
      <c r="B450" t="s">
        <v>1946</v>
      </c>
      <c r="C450">
        <f t="shared" si="12"/>
        <v>23.879664166666668</v>
      </c>
      <c r="D450">
        <f t="shared" si="13"/>
        <v>90.439310833333337</v>
      </c>
    </row>
    <row r="451" spans="1:4" x14ac:dyDescent="0.3">
      <c r="A451" t="s">
        <v>1453</v>
      </c>
      <c r="B451" t="s">
        <v>1947</v>
      </c>
      <c r="C451">
        <f t="shared" ref="C451:C495" si="14">DecimalDegreesConverter(A451,,,,TRUE)</f>
        <v>23.879827222222222</v>
      </c>
      <c r="D451">
        <f t="shared" ref="D451:D495" si="15">DecimalDegreesConverter(B451,,,,TRUE)</f>
        <v>90.449123611111119</v>
      </c>
    </row>
    <row r="452" spans="1:4" x14ac:dyDescent="0.3">
      <c r="A452" t="s">
        <v>1454</v>
      </c>
      <c r="B452" t="s">
        <v>1948</v>
      </c>
      <c r="C452">
        <f t="shared" si="14"/>
        <v>23.879989444444444</v>
      </c>
      <c r="D452">
        <f t="shared" si="15"/>
        <v>90.458936666666673</v>
      </c>
    </row>
    <row r="453" spans="1:4" x14ac:dyDescent="0.3">
      <c r="A453" t="s">
        <v>1455</v>
      </c>
      <c r="B453" t="s">
        <v>1949</v>
      </c>
      <c r="C453">
        <f t="shared" si="14"/>
        <v>23.880151388888891</v>
      </c>
      <c r="D453">
        <f t="shared" si="15"/>
        <v>90.468749444444441</v>
      </c>
    </row>
    <row r="454" spans="1:4" x14ac:dyDescent="0.3">
      <c r="A454" t="s">
        <v>1456</v>
      </c>
      <c r="B454" t="s">
        <v>1950</v>
      </c>
      <c r="C454">
        <f t="shared" si="14"/>
        <v>23.880312499999999</v>
      </c>
      <c r="D454">
        <f t="shared" si="15"/>
        <v>90.478562777777782</v>
      </c>
    </row>
    <row r="455" spans="1:4" x14ac:dyDescent="0.3">
      <c r="A455" t="s">
        <v>1457</v>
      </c>
      <c r="B455" t="s">
        <v>1951</v>
      </c>
      <c r="C455">
        <f t="shared" si="14"/>
        <v>23.880473055555555</v>
      </c>
      <c r="D455">
        <f t="shared" si="15"/>
        <v>90.488375833333336</v>
      </c>
    </row>
    <row r="456" spans="1:4" x14ac:dyDescent="0.3">
      <c r="A456" t="s">
        <v>1458</v>
      </c>
      <c r="B456" t="s">
        <v>1952</v>
      </c>
      <c r="C456">
        <f t="shared" si="14"/>
        <v>23.880633055555556</v>
      </c>
      <c r="D456">
        <f t="shared" si="15"/>
        <v>90.498189166666663</v>
      </c>
    </row>
    <row r="457" spans="1:4" x14ac:dyDescent="0.3">
      <c r="A457" t="s">
        <v>1459</v>
      </c>
      <c r="B457" t="s">
        <v>1953</v>
      </c>
      <c r="C457">
        <f t="shared" si="14"/>
        <v>23.880792222222222</v>
      </c>
      <c r="D457">
        <f t="shared" si="15"/>
        <v>90.508002500000003</v>
      </c>
    </row>
    <row r="458" spans="1:4" x14ac:dyDescent="0.3">
      <c r="A458" t="s">
        <v>1460</v>
      </c>
      <c r="B458" t="s">
        <v>1954</v>
      </c>
      <c r="C458">
        <f t="shared" si="14"/>
        <v>23.886851944444444</v>
      </c>
      <c r="D458">
        <f t="shared" si="15"/>
        <v>90.331189999999992</v>
      </c>
    </row>
    <row r="459" spans="1:4" x14ac:dyDescent="0.3">
      <c r="A459" t="s">
        <v>1461</v>
      </c>
      <c r="B459" t="s">
        <v>1955</v>
      </c>
      <c r="C459">
        <f t="shared" si="14"/>
        <v>23.887021944444445</v>
      </c>
      <c r="D459">
        <f t="shared" si="15"/>
        <v>90.341002777777774</v>
      </c>
    </row>
    <row r="460" spans="1:4" x14ac:dyDescent="0.3">
      <c r="A460" t="s">
        <v>1462</v>
      </c>
      <c r="B460" t="s">
        <v>1956</v>
      </c>
      <c r="C460">
        <f t="shared" si="14"/>
        <v>23.887191111111111</v>
      </c>
      <c r="D460">
        <f t="shared" si="15"/>
        <v>90.35081527777777</v>
      </c>
    </row>
    <row r="461" spans="1:4" x14ac:dyDescent="0.3">
      <c r="A461" t="s">
        <v>1463</v>
      </c>
      <c r="B461" t="s">
        <v>1957</v>
      </c>
      <c r="C461">
        <f t="shared" si="14"/>
        <v>23.887360000000001</v>
      </c>
      <c r="D461">
        <f t="shared" si="15"/>
        <v>90.360628055555551</v>
      </c>
    </row>
    <row r="462" spans="1:4" x14ac:dyDescent="0.3">
      <c r="A462" t="s">
        <v>1464</v>
      </c>
      <c r="B462" t="s">
        <v>1958</v>
      </c>
      <c r="C462">
        <f t="shared" si="14"/>
        <v>23.887528055555556</v>
      </c>
      <c r="D462">
        <f t="shared" si="15"/>
        <v>90.370440833333333</v>
      </c>
    </row>
    <row r="463" spans="1:4" x14ac:dyDescent="0.3">
      <c r="A463" t="s">
        <v>1465</v>
      </c>
      <c r="B463" t="s">
        <v>1959</v>
      </c>
      <c r="C463">
        <f t="shared" si="14"/>
        <v>23.887695555555556</v>
      </c>
      <c r="D463">
        <f t="shared" si="15"/>
        <v>90.380253888888888</v>
      </c>
    </row>
    <row r="464" spans="1:4" x14ac:dyDescent="0.3">
      <c r="A464" t="s">
        <v>1466</v>
      </c>
      <c r="B464" t="s">
        <v>1960</v>
      </c>
      <c r="C464">
        <f t="shared" si="14"/>
        <v>23.887862500000001</v>
      </c>
      <c r="D464">
        <f t="shared" si="15"/>
        <v>90.390066666666669</v>
      </c>
    </row>
    <row r="465" spans="1:4" x14ac:dyDescent="0.3">
      <c r="A465" t="s">
        <v>1467</v>
      </c>
      <c r="B465" t="s">
        <v>1961</v>
      </c>
      <c r="C465">
        <f t="shared" si="14"/>
        <v>23.88802861111111</v>
      </c>
      <c r="D465">
        <f t="shared" si="15"/>
        <v>90.399879722222224</v>
      </c>
    </row>
    <row r="466" spans="1:4" x14ac:dyDescent="0.3">
      <c r="A466" t="s">
        <v>1468</v>
      </c>
      <c r="B466" t="s">
        <v>1962</v>
      </c>
      <c r="C466">
        <f t="shared" si="14"/>
        <v>23.888194166666665</v>
      </c>
      <c r="D466">
        <f t="shared" si="15"/>
        <v>90.409693055555564</v>
      </c>
    </row>
    <row r="467" spans="1:4" x14ac:dyDescent="0.3">
      <c r="A467" t="s">
        <v>1469</v>
      </c>
      <c r="B467" t="s">
        <v>1963</v>
      </c>
      <c r="C467">
        <f t="shared" si="14"/>
        <v>23.888359166666667</v>
      </c>
      <c r="D467">
        <f t="shared" si="15"/>
        <v>90.419506388888891</v>
      </c>
    </row>
    <row r="468" spans="1:4" x14ac:dyDescent="0.3">
      <c r="A468" t="s">
        <v>1470</v>
      </c>
      <c r="B468" t="s">
        <v>1964</v>
      </c>
      <c r="C468">
        <f t="shared" si="14"/>
        <v>23.888523611111111</v>
      </c>
      <c r="D468">
        <f t="shared" si="15"/>
        <v>90.429319722222232</v>
      </c>
    </row>
    <row r="469" spans="1:4" x14ac:dyDescent="0.3">
      <c r="A469" t="s">
        <v>1471</v>
      </c>
      <c r="B469" t="s">
        <v>1965</v>
      </c>
      <c r="C469">
        <f t="shared" si="14"/>
        <v>23.8886875</v>
      </c>
      <c r="D469">
        <f t="shared" si="15"/>
        <v>90.439133055555558</v>
      </c>
    </row>
    <row r="470" spans="1:4" x14ac:dyDescent="0.3">
      <c r="A470" t="s">
        <v>1472</v>
      </c>
      <c r="B470" t="s">
        <v>1966</v>
      </c>
      <c r="C470">
        <f t="shared" si="14"/>
        <v>23.888850555555557</v>
      </c>
      <c r="D470">
        <f t="shared" si="15"/>
        <v>90.448946666666671</v>
      </c>
    </row>
    <row r="471" spans="1:4" x14ac:dyDescent="0.3">
      <c r="A471" t="s">
        <v>1473</v>
      </c>
      <c r="B471" t="s">
        <v>1967</v>
      </c>
      <c r="C471">
        <f t="shared" si="14"/>
        <v>23.889013055555555</v>
      </c>
      <c r="D471">
        <f t="shared" si="15"/>
        <v>90.458760277777785</v>
      </c>
    </row>
    <row r="472" spans="1:4" x14ac:dyDescent="0.3">
      <c r="A472" t="s">
        <v>1474</v>
      </c>
      <c r="B472" t="s">
        <v>1968</v>
      </c>
      <c r="C472">
        <f t="shared" si="14"/>
        <v>23.889174999999998</v>
      </c>
      <c r="D472">
        <f t="shared" si="15"/>
        <v>90.468573888888898</v>
      </c>
    </row>
    <row r="473" spans="1:4" x14ac:dyDescent="0.3">
      <c r="A473" t="s">
        <v>1475</v>
      </c>
      <c r="B473" t="s">
        <v>1969</v>
      </c>
      <c r="C473">
        <f t="shared" si="14"/>
        <v>23.88933611111111</v>
      </c>
      <c r="D473">
        <f t="shared" si="15"/>
        <v>90.478387777777783</v>
      </c>
    </row>
    <row r="474" spans="1:4" x14ac:dyDescent="0.3">
      <c r="A474" t="s">
        <v>1476</v>
      </c>
      <c r="B474" t="s">
        <v>1970</v>
      </c>
      <c r="C474">
        <f t="shared" si="14"/>
        <v>23.889496666666666</v>
      </c>
      <c r="D474">
        <f t="shared" si="15"/>
        <v>90.488201666666669</v>
      </c>
    </row>
    <row r="475" spans="1:4" x14ac:dyDescent="0.3">
      <c r="A475" t="s">
        <v>1477</v>
      </c>
      <c r="B475" t="s">
        <v>1971</v>
      </c>
      <c r="C475">
        <f t="shared" si="14"/>
        <v>23.889656666666667</v>
      </c>
      <c r="D475">
        <f t="shared" si="15"/>
        <v>90.498015555555554</v>
      </c>
    </row>
    <row r="476" spans="1:4" x14ac:dyDescent="0.3">
      <c r="A476" t="s">
        <v>1478</v>
      </c>
      <c r="B476" t="s">
        <v>1972</v>
      </c>
      <c r="C476">
        <f t="shared" si="14"/>
        <v>23.889816111111109</v>
      </c>
      <c r="D476">
        <f t="shared" si="15"/>
        <v>90.50782944444444</v>
      </c>
    </row>
    <row r="477" spans="1:4" x14ac:dyDescent="0.3">
      <c r="A477" t="s">
        <v>1479</v>
      </c>
      <c r="B477" t="s">
        <v>1973</v>
      </c>
      <c r="C477">
        <f t="shared" si="14"/>
        <v>23.895874444444445</v>
      </c>
      <c r="D477">
        <f t="shared" si="15"/>
        <v>90.33100499999999</v>
      </c>
    </row>
    <row r="478" spans="1:4" x14ac:dyDescent="0.3">
      <c r="A478" t="s">
        <v>1480</v>
      </c>
      <c r="B478" t="s">
        <v>1974</v>
      </c>
      <c r="C478">
        <f t="shared" si="14"/>
        <v>23.896044444444446</v>
      </c>
      <c r="D478">
        <f t="shared" si="15"/>
        <v>90.340818055555545</v>
      </c>
    </row>
    <row r="479" spans="1:4" x14ac:dyDescent="0.3">
      <c r="A479" t="s">
        <v>1481</v>
      </c>
      <c r="B479" t="s">
        <v>1975</v>
      </c>
      <c r="C479">
        <f t="shared" si="14"/>
        <v>23.896213888888887</v>
      </c>
      <c r="D479">
        <f t="shared" si="15"/>
        <v>90.350631388888885</v>
      </c>
    </row>
    <row r="480" spans="1:4" x14ac:dyDescent="0.3">
      <c r="A480" t="s">
        <v>1482</v>
      </c>
      <c r="B480" t="s">
        <v>1976</v>
      </c>
      <c r="C480">
        <f t="shared" si="14"/>
        <v>23.896382777777777</v>
      </c>
      <c r="D480">
        <f t="shared" si="15"/>
        <v>90.360444722222212</v>
      </c>
    </row>
    <row r="481" spans="1:5" x14ac:dyDescent="0.3">
      <c r="A481" t="s">
        <v>1483</v>
      </c>
      <c r="B481" t="s">
        <v>1977</v>
      </c>
      <c r="C481">
        <f t="shared" si="14"/>
        <v>23.896550833333333</v>
      </c>
      <c r="D481">
        <f t="shared" si="15"/>
        <v>90.370258333333325</v>
      </c>
    </row>
    <row r="482" spans="1:5" x14ac:dyDescent="0.3">
      <c r="A482" t="s">
        <v>1484</v>
      </c>
      <c r="B482" t="s">
        <v>1978</v>
      </c>
      <c r="C482">
        <f t="shared" si="14"/>
        <v>23.896718611111112</v>
      </c>
      <c r="D482">
        <f t="shared" si="15"/>
        <v>90.380071944444438</v>
      </c>
    </row>
    <row r="483" spans="1:5" x14ac:dyDescent="0.3">
      <c r="A483" t="s">
        <v>1485</v>
      </c>
      <c r="B483" t="s">
        <v>1979</v>
      </c>
      <c r="C483">
        <f t="shared" si="14"/>
        <v>23.896885555555556</v>
      </c>
      <c r="D483">
        <f t="shared" si="15"/>
        <v>90.389885555555566</v>
      </c>
    </row>
    <row r="484" spans="1:5" x14ac:dyDescent="0.3">
      <c r="A484" t="s">
        <v>1486</v>
      </c>
      <c r="B484" t="s">
        <v>1980</v>
      </c>
      <c r="C484">
        <f t="shared" si="14"/>
        <v>23.897051666666666</v>
      </c>
      <c r="D484">
        <f t="shared" si="15"/>
        <v>90.399699444444451</v>
      </c>
    </row>
    <row r="485" spans="1:5" x14ac:dyDescent="0.3">
      <c r="A485" t="s">
        <v>1487</v>
      </c>
      <c r="B485" t="s">
        <v>1981</v>
      </c>
      <c r="C485">
        <f t="shared" si="14"/>
        <v>23.8972175</v>
      </c>
      <c r="D485">
        <f t="shared" si="15"/>
        <v>90.409513055555564</v>
      </c>
    </row>
    <row r="486" spans="1:5" x14ac:dyDescent="0.3">
      <c r="A486" t="s">
        <v>1488</v>
      </c>
      <c r="B486" t="s">
        <v>1982</v>
      </c>
      <c r="C486">
        <f t="shared" si="14"/>
        <v>23.897382499999999</v>
      </c>
      <c r="D486">
        <f t="shared" si="15"/>
        <v>90.419327222222222</v>
      </c>
    </row>
    <row r="487" spans="1:5" x14ac:dyDescent="0.3">
      <c r="A487" t="s">
        <v>1489</v>
      </c>
      <c r="B487" t="s">
        <v>1983</v>
      </c>
      <c r="C487">
        <f t="shared" si="14"/>
        <v>23.897546944444443</v>
      </c>
      <c r="D487">
        <f t="shared" si="15"/>
        <v>90.429141111111122</v>
      </c>
    </row>
    <row r="488" spans="1:5" x14ac:dyDescent="0.3">
      <c r="A488" t="s">
        <v>1490</v>
      </c>
      <c r="B488" t="s">
        <v>1984</v>
      </c>
      <c r="C488">
        <f t="shared" si="14"/>
        <v>23.897710833333331</v>
      </c>
      <c r="D488">
        <f t="shared" si="15"/>
        <v>90.438955277777779</v>
      </c>
    </row>
    <row r="489" spans="1:5" x14ac:dyDescent="0.3">
      <c r="A489" t="s">
        <v>1491</v>
      </c>
      <c r="B489" t="s">
        <v>1985</v>
      </c>
      <c r="C489">
        <f t="shared" si="14"/>
        <v>23.897873888888888</v>
      </c>
      <c r="D489">
        <f t="shared" si="15"/>
        <v>90.448769444444451</v>
      </c>
    </row>
    <row r="490" spans="1:5" x14ac:dyDescent="0.3">
      <c r="A490" t="s">
        <v>1492</v>
      </c>
      <c r="B490" t="s">
        <v>1986</v>
      </c>
      <c r="C490">
        <f t="shared" si="14"/>
        <v>23.898036388888887</v>
      </c>
      <c r="D490">
        <f t="shared" si="15"/>
        <v>90.458583888888896</v>
      </c>
    </row>
    <row r="491" spans="1:5" x14ac:dyDescent="0.3">
      <c r="A491" t="s">
        <v>1493</v>
      </c>
      <c r="B491" t="s">
        <v>1987</v>
      </c>
      <c r="C491">
        <f t="shared" si="14"/>
        <v>23.898198333333333</v>
      </c>
      <c r="D491">
        <f t="shared" si="15"/>
        <v>90.468398055555554</v>
      </c>
    </row>
    <row r="492" spans="1:5" x14ac:dyDescent="0.3">
      <c r="A492" t="s">
        <v>1494</v>
      </c>
      <c r="B492" t="s">
        <v>1988</v>
      </c>
      <c r="C492">
        <f t="shared" si="14"/>
        <v>23.898359722222221</v>
      </c>
      <c r="D492">
        <f t="shared" si="15"/>
        <v>90.478212499999998</v>
      </c>
    </row>
    <row r="493" spans="1:5" x14ac:dyDescent="0.3">
      <c r="A493" t="s">
        <v>1495</v>
      </c>
      <c r="B493" t="s">
        <v>1989</v>
      </c>
      <c r="C493">
        <f t="shared" si="14"/>
        <v>23.898520555555557</v>
      </c>
      <c r="D493">
        <f t="shared" si="15"/>
        <v>90.488027222222229</v>
      </c>
    </row>
    <row r="494" spans="1:5" x14ac:dyDescent="0.3">
      <c r="A494" t="s">
        <v>1496</v>
      </c>
      <c r="B494" t="s">
        <v>1990</v>
      </c>
      <c r="C494">
        <f t="shared" si="14"/>
        <v>23.898680555555554</v>
      </c>
      <c r="D494">
        <f t="shared" si="15"/>
        <v>90.497841944444446</v>
      </c>
    </row>
    <row r="495" spans="1:5" x14ac:dyDescent="0.3">
      <c r="A495" t="s">
        <v>1497</v>
      </c>
      <c r="B495" t="s">
        <v>1991</v>
      </c>
      <c r="C495">
        <f t="shared" si="14"/>
        <v>23.89884</v>
      </c>
      <c r="D495">
        <f t="shared" si="15"/>
        <v>90.507656666666662</v>
      </c>
      <c r="E495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95"/>
  <sheetViews>
    <sheetView topLeftCell="F1" workbookViewId="0">
      <selection activeCell="N2" sqref="N2:O6"/>
    </sheetView>
  </sheetViews>
  <sheetFormatPr defaultRowHeight="14.4" x14ac:dyDescent="0.3"/>
  <cols>
    <col min="1" max="2" width="14.6640625" hidden="1" customWidth="1"/>
    <col min="3" max="3" width="13.6640625" hidden="1" customWidth="1"/>
    <col min="4" max="4" width="9.88671875" hidden="1" customWidth="1"/>
    <col min="5" max="5" width="23.77734375" hidden="1" customWidth="1"/>
    <col min="6" max="6" width="23.77734375" bestFit="1" customWidth="1"/>
    <col min="7" max="7" width="12" hidden="1" customWidth="1"/>
    <col min="8" max="9" width="14.33203125" hidden="1" customWidth="1"/>
    <col min="10" max="10" width="13.33203125" hidden="1" customWidth="1"/>
    <col min="11" max="11" width="9.33203125" hidden="1" customWidth="1"/>
    <col min="12" max="12" width="22.88671875" hidden="1" customWidth="1"/>
    <col min="13" max="13" width="22.88671875" bestFit="1" customWidth="1"/>
    <col min="14" max="14" width="23.109375" bestFit="1" customWidth="1"/>
    <col min="15" max="15" width="24.44140625" bestFit="1" customWidth="1"/>
  </cols>
  <sheetData>
    <row r="1" spans="1:15" x14ac:dyDescent="0.3">
      <c r="F1" s="9" t="s">
        <v>13</v>
      </c>
      <c r="M1" s="8" t="s">
        <v>12</v>
      </c>
      <c r="N1" s="9" t="s">
        <v>14</v>
      </c>
      <c r="O1" s="8" t="s">
        <v>15</v>
      </c>
    </row>
    <row r="2" spans="1:15" x14ac:dyDescent="0.3">
      <c r="A2" t="s">
        <v>1992</v>
      </c>
      <c r="B2" t="str">
        <f t="shared" ref="B2:B65" ca="1" si="0">LEFT(A2,RANDBETWEEN(1,LEN(A2)))</f>
        <v xml:space="preserve">23- 40- 13.104 </v>
      </c>
      <c r="C2" t="str">
        <f t="shared" ref="C2:C65" ca="1" si="1">SUBSTITUTE(A2,B2,"")</f>
        <v>N</v>
      </c>
      <c r="D2" t="str">
        <f ca="1">IF(ISERROR(REPT(CHAR(RANDBETWEEN(65,128)),RANDBETWEEN(1,5))),"ee",(REPT(CHAR(RANDBETWEEN(65,128)),RANDBETWEEN(1,5))))</f>
        <v>^^^^</v>
      </c>
      <c r="E2" t="str">
        <f ca="1">B2&amp;D2&amp;C2</f>
        <v>23- 40- 13.104 ^^^^N</v>
      </c>
      <c r="F2" t="str">
        <f ca="1">E2</f>
        <v>23- 40- 13.104 ^^^^N</v>
      </c>
      <c r="G2">
        <f ca="1">DecimalDegreesConverter(F2,,,"-")</f>
        <v>23.670306666666669</v>
      </c>
      <c r="H2" t="s">
        <v>2486</v>
      </c>
      <c r="I2" t="str">
        <f ca="1">LEFT(H2,RANDBETWEEN(1,LEN(H2)))</f>
        <v>90- 20- 8</v>
      </c>
      <c r="J2" t="str">
        <f ca="1">SUBSTITUTE(H2,I2,"")</f>
        <v>.192 E</v>
      </c>
      <c r="K2" t="str">
        <f ca="1">IF(ISERROR(REPT(CHAR(RANDBETWEEN(65,128)),RANDBETWEEN(1,5))),"ee",(REPT(CHAR(RANDBETWEEN(65,128)),RANDBETWEEN(1,5))))</f>
        <v>```</v>
      </c>
      <c r="L2" t="str">
        <f ca="1">I2&amp;K2&amp;J2</f>
        <v>90- 20- 8```.192 E</v>
      </c>
      <c r="M2" t="str">
        <f ca="1">L2</f>
        <v>90- 20- 8```.192 E</v>
      </c>
      <c r="N2">
        <f ca="1">DecimalDegreesConverter(F2,,,"-")</f>
        <v>23.670306666666669</v>
      </c>
      <c r="O2">
        <f ca="1">DecimalDegreesConverter(M2,,,"-")</f>
        <v>90.335608888888885</v>
      </c>
    </row>
    <row r="3" spans="1:15" x14ac:dyDescent="0.3">
      <c r="A3" t="s">
        <v>1993</v>
      </c>
      <c r="B3" t="str">
        <f t="shared" ca="1" si="0"/>
        <v>2</v>
      </c>
      <c r="C3" t="str">
        <f t="shared" ca="1" si="1"/>
        <v>3- 40- 13.709 N</v>
      </c>
      <c r="D3" t="str">
        <f t="shared" ref="D3:D66" ca="1" si="2">IF(ISERROR(REPT(CHAR(RANDBETWEEN(65,128)),RANDBETWEEN(1,5))),"ee",(REPT(CHAR(RANDBETWEEN(65,128)),RANDBETWEEN(1,5))))</f>
        <v>XXXX</v>
      </c>
      <c r="E3" t="str">
        <f t="shared" ref="E3:E66" ca="1" si="3">B3&amp;D3&amp;C3</f>
        <v>2XXXX3- 40- 13.709 N</v>
      </c>
      <c r="F3" t="str">
        <f t="shared" ref="F3:F66" ca="1" si="4">E3</f>
        <v>2XXXX3- 40- 13.709 N</v>
      </c>
      <c r="H3" t="s">
        <v>2487</v>
      </c>
      <c r="I3" t="str">
        <f t="shared" ref="I3:I66" ca="1" si="5">LEFT(H3,RANDBETWEEN(1,LEN(H3)))</f>
        <v>90- 20- 4</v>
      </c>
      <c r="J3" t="str">
        <f t="shared" ref="J3:J66" ca="1" si="6">SUBSTITUTE(H3,I3,"")</f>
        <v>3.459 E</v>
      </c>
      <c r="K3" t="str">
        <f t="shared" ref="K3:K66" ca="1" si="7">IF(ISERROR(REPT(CHAR(RANDBETWEEN(65,128)),RANDBETWEEN(1,5))),"ee",(REPT(CHAR(RANDBETWEEN(65,128)),RANDBETWEEN(1,5))))</f>
        <v>ccccc</v>
      </c>
      <c r="L3" t="str">
        <f t="shared" ref="L3:L66" ca="1" si="8">I3&amp;K3&amp;J3</f>
        <v>90- 20- 4ccccc3.459 E</v>
      </c>
      <c r="M3" t="str">
        <f t="shared" ref="M3:M66" ca="1" si="9">L3</f>
        <v>90- 20- 4ccccc3.459 E</v>
      </c>
      <c r="N3">
        <f t="shared" ref="N3:N66" ca="1" si="10">DecimalDegreesConverter(F3,,,"-")</f>
        <v>23.670474722222224</v>
      </c>
      <c r="O3">
        <f t="shared" ref="O3:O66" ca="1" si="11">DecimalDegreesConverter(M3,,,"-")</f>
        <v>90.345405277777772</v>
      </c>
    </row>
    <row r="4" spans="1:15" x14ac:dyDescent="0.3">
      <c r="A4" t="s">
        <v>1994</v>
      </c>
      <c r="B4" t="str">
        <f t="shared" ca="1" si="0"/>
        <v>23- 40-</v>
      </c>
      <c r="C4" t="str">
        <f t="shared" ca="1" si="1"/>
        <v xml:space="preserve"> 14.313 N</v>
      </c>
      <c r="D4" t="str">
        <f t="shared" ca="1" si="2"/>
        <v>MMM</v>
      </c>
      <c r="E4" t="str">
        <f t="shared" ca="1" si="3"/>
        <v>23- 40-MMM 14.313 N</v>
      </c>
      <c r="F4" t="str">
        <f t="shared" ca="1" si="4"/>
        <v>23- 40-MMM 14.313 N</v>
      </c>
      <c r="H4" t="s">
        <v>2488</v>
      </c>
      <c r="I4" t="str">
        <f t="shared" ca="1" si="5"/>
        <v>90- 21- 18.726</v>
      </c>
      <c r="J4" t="str">
        <f t="shared" ca="1" si="6"/>
        <v xml:space="preserve"> E</v>
      </c>
      <c r="K4" t="str">
        <f t="shared" ca="1" si="7"/>
        <v>E</v>
      </c>
      <c r="L4" t="str">
        <f t="shared" ca="1" si="8"/>
        <v>90- 21- 18.726E E</v>
      </c>
      <c r="M4" t="str">
        <f t="shared" ca="1" si="9"/>
        <v>90- 21- 18.726E E</v>
      </c>
      <c r="N4">
        <f t="shared" ca="1" si="10"/>
        <v>23.6706425</v>
      </c>
      <c r="O4">
        <f t="shared" ca="1" si="11"/>
        <v>90.355201666666659</v>
      </c>
    </row>
    <row r="5" spans="1:15" x14ac:dyDescent="0.3">
      <c r="A5" t="s">
        <v>1995</v>
      </c>
      <c r="B5" t="str">
        <f t="shared" ca="1" si="0"/>
        <v>23-</v>
      </c>
      <c r="C5" t="str">
        <f t="shared" ca="1" si="1"/>
        <v xml:space="preserve"> 40- 14.914 N</v>
      </c>
      <c r="D5" t="str">
        <f t="shared" ca="1" si="2"/>
        <v>s</v>
      </c>
      <c r="E5" t="str">
        <f t="shared" ca="1" si="3"/>
        <v>23-s 40- 14.914 N</v>
      </c>
      <c r="F5" t="str">
        <f t="shared" ca="1" si="4"/>
        <v>23-s 40- 14.914 N</v>
      </c>
      <c r="H5" t="s">
        <v>2489</v>
      </c>
      <c r="I5" t="str">
        <f t="shared" ca="1" si="5"/>
        <v>90- 21-</v>
      </c>
      <c r="J5" t="str">
        <f t="shared" ca="1" si="6"/>
        <v xml:space="preserve"> 53.994 E</v>
      </c>
      <c r="K5" t="str">
        <f t="shared" ca="1" si="7"/>
        <v>CCC</v>
      </c>
      <c r="L5" t="str">
        <f t="shared" ca="1" si="8"/>
        <v>90- 21-CCC 53.994 E</v>
      </c>
      <c r="M5" t="str">
        <f t="shared" ca="1" si="9"/>
        <v>90- 21-CCC 53.994 E</v>
      </c>
      <c r="N5">
        <f t="shared" ca="1" si="10"/>
        <v>23.670809444444444</v>
      </c>
      <c r="O5">
        <f t="shared" ca="1" si="11"/>
        <v>90.364998333333332</v>
      </c>
    </row>
    <row r="6" spans="1:15" x14ac:dyDescent="0.3">
      <c r="A6" t="s">
        <v>1996</v>
      </c>
      <c r="B6" t="str">
        <f t="shared" ca="1" si="0"/>
        <v>23- 4</v>
      </c>
      <c r="C6" t="str">
        <f t="shared" ca="1" si="1"/>
        <v>0- 15.513 N</v>
      </c>
      <c r="D6" t="str">
        <f t="shared" ca="1" si="2"/>
        <v>ttt</v>
      </c>
      <c r="E6" t="str">
        <f t="shared" ca="1" si="3"/>
        <v>23- 4ttt0- 15.513 N</v>
      </c>
      <c r="F6" t="str">
        <f t="shared" ca="1" si="4"/>
        <v>23- 4ttt0- 15.513 N</v>
      </c>
      <c r="H6" t="s">
        <v>2490</v>
      </c>
      <c r="I6" t="str">
        <f t="shared" ca="1" si="5"/>
        <v>90- 22- 29</v>
      </c>
      <c r="J6" t="str">
        <f t="shared" ca="1" si="6"/>
        <v>.262 E</v>
      </c>
      <c r="K6" t="str">
        <f t="shared" ca="1" si="7"/>
        <v>wwwww</v>
      </c>
      <c r="L6" t="str">
        <f t="shared" ca="1" si="8"/>
        <v>90- 22- 29wwwww.262 E</v>
      </c>
      <c r="M6" t="str">
        <f t="shared" ca="1" si="9"/>
        <v>90- 22- 29wwwww.262 E</v>
      </c>
      <c r="N6">
        <f t="shared" ca="1" si="10"/>
        <v>23.670975833333333</v>
      </c>
      <c r="O6">
        <f t="shared" ca="1" si="11"/>
        <v>90.374794999999992</v>
      </c>
    </row>
    <row r="7" spans="1:15" x14ac:dyDescent="0.3">
      <c r="A7" t="s">
        <v>1997</v>
      </c>
      <c r="B7" t="str">
        <f t="shared" ca="1" si="0"/>
        <v>23</v>
      </c>
      <c r="C7" t="str">
        <f t="shared" ca="1" si="1"/>
        <v>- 40- 16.110 N</v>
      </c>
      <c r="D7" t="str">
        <f t="shared" ca="1" si="2"/>
        <v>ZZZZ</v>
      </c>
      <c r="E7" t="str">
        <f t="shared" ca="1" si="3"/>
        <v>23ZZZZ- 40- 16.110 N</v>
      </c>
      <c r="F7" t="str">
        <f t="shared" ca="1" si="4"/>
        <v>23ZZZZ- 40- 16.110 N</v>
      </c>
      <c r="H7" t="s">
        <v>2491</v>
      </c>
      <c r="I7" t="str">
        <f t="shared" ca="1" si="5"/>
        <v>90- 23- 4.5</v>
      </c>
      <c r="J7" t="str">
        <f t="shared" ca="1" si="6"/>
        <v>30 E</v>
      </c>
      <c r="K7" t="str">
        <f t="shared" ca="1" si="7"/>
        <v>QQQ</v>
      </c>
      <c r="L7" t="str">
        <f t="shared" ca="1" si="8"/>
        <v>90- 23- 4.5QQQ30 E</v>
      </c>
      <c r="M7" t="str">
        <f t="shared" ca="1" si="9"/>
        <v>90- 23- 4.5QQQ30 E</v>
      </c>
      <c r="N7">
        <f t="shared" ca="1" si="10"/>
        <v>23.671141666666667</v>
      </c>
      <c r="O7">
        <f t="shared" ca="1" si="11"/>
        <v>90.38459166666668</v>
      </c>
    </row>
    <row r="8" spans="1:15" x14ac:dyDescent="0.3">
      <c r="A8" t="s">
        <v>1998</v>
      </c>
      <c r="B8" t="str">
        <f t="shared" ca="1" si="0"/>
        <v>23-</v>
      </c>
      <c r="C8" t="str">
        <f t="shared" ca="1" si="1"/>
        <v xml:space="preserve"> 40- 16.705 N</v>
      </c>
      <c r="D8" t="str">
        <f t="shared" ca="1" si="2"/>
        <v>oo</v>
      </c>
      <c r="E8" t="str">
        <f t="shared" ca="1" si="3"/>
        <v>23-oo 40- 16.705 N</v>
      </c>
      <c r="F8" t="str">
        <f t="shared" ca="1" si="4"/>
        <v>23-oo 40- 16.705 N</v>
      </c>
      <c r="H8" t="s">
        <v>2492</v>
      </c>
      <c r="I8" t="str">
        <f t="shared" ca="1" si="5"/>
        <v>90- 23- 39.79</v>
      </c>
      <c r="J8" t="str">
        <f t="shared" ca="1" si="6"/>
        <v>8 E</v>
      </c>
      <c r="K8" t="str">
        <f t="shared" ca="1" si="7"/>
        <v>PPP</v>
      </c>
      <c r="L8" t="str">
        <f t="shared" ca="1" si="8"/>
        <v>90- 23- 39.79PPP8 E</v>
      </c>
      <c r="M8" t="str">
        <f t="shared" ca="1" si="9"/>
        <v>90- 23- 39.79PPP8 E</v>
      </c>
      <c r="N8">
        <f t="shared" ca="1" si="10"/>
        <v>23.671306944444446</v>
      </c>
      <c r="O8">
        <f t="shared" ca="1" si="11"/>
        <v>90.394388333333339</v>
      </c>
    </row>
    <row r="9" spans="1:15" x14ac:dyDescent="0.3">
      <c r="A9" t="s">
        <v>1999</v>
      </c>
      <c r="B9" t="str">
        <f t="shared" ca="1" si="0"/>
        <v>23</v>
      </c>
      <c r="C9" t="str">
        <f t="shared" ca="1" si="1"/>
        <v>- 40- 17.297 N</v>
      </c>
      <c r="D9" t="str">
        <f t="shared" ca="1" si="2"/>
        <v>vv</v>
      </c>
      <c r="E9" t="str">
        <f t="shared" ca="1" si="3"/>
        <v>23vv- 40- 17.297 N</v>
      </c>
      <c r="F9" t="str">
        <f t="shared" ca="1" si="4"/>
        <v>23vv- 40- 17.297 N</v>
      </c>
      <c r="H9" t="s">
        <v>2493</v>
      </c>
      <c r="I9" t="str">
        <f t="shared" ca="1" si="5"/>
        <v>90- 24- 15.0</v>
      </c>
      <c r="J9" t="str">
        <f t="shared" ca="1" si="6"/>
        <v>67 E</v>
      </c>
      <c r="K9" t="str">
        <f t="shared" ca="1" si="7"/>
        <v>i</v>
      </c>
      <c r="L9" t="str">
        <f t="shared" ca="1" si="8"/>
        <v>90- 24- 15.0i67 E</v>
      </c>
      <c r="M9" t="str">
        <f t="shared" ca="1" si="9"/>
        <v>90- 24- 15.0i67 E</v>
      </c>
      <c r="N9">
        <f t="shared" ca="1" si="10"/>
        <v>23.671471388888889</v>
      </c>
      <c r="O9">
        <f t="shared" ca="1" si="11"/>
        <v>90.404185277777785</v>
      </c>
    </row>
    <row r="10" spans="1:15" x14ac:dyDescent="0.3">
      <c r="A10" t="s">
        <v>2000</v>
      </c>
      <c r="B10" t="str">
        <f t="shared" ca="1" si="0"/>
        <v>23- 40-</v>
      </c>
      <c r="C10" t="str">
        <f t="shared" ca="1" si="1"/>
        <v xml:space="preserve"> 17.887 N</v>
      </c>
      <c r="D10" t="str">
        <f t="shared" ca="1" si="2"/>
        <v>^^</v>
      </c>
      <c r="E10" t="str">
        <f t="shared" ca="1" si="3"/>
        <v>23- 40-^^ 17.887 N</v>
      </c>
      <c r="F10" t="str">
        <f t="shared" ca="1" si="4"/>
        <v>23- 40-^^ 17.887 N</v>
      </c>
      <c r="H10" t="s">
        <v>2494</v>
      </c>
      <c r="I10" t="str">
        <f t="shared" ca="1" si="5"/>
        <v>90- 24- 50</v>
      </c>
      <c r="J10" t="str">
        <f t="shared" ca="1" si="6"/>
        <v>.336 E</v>
      </c>
      <c r="K10" t="str">
        <f t="shared" ca="1" si="7"/>
        <v>BBBBB</v>
      </c>
      <c r="L10" t="str">
        <f t="shared" ca="1" si="8"/>
        <v>90- 24- 50BBBBB.336 E</v>
      </c>
      <c r="M10" t="str">
        <f t="shared" ca="1" si="9"/>
        <v>90- 24- 50BBBBB.336 E</v>
      </c>
      <c r="N10">
        <f t="shared" ca="1" si="10"/>
        <v>23.671635277777778</v>
      </c>
      <c r="O10">
        <f t="shared" ca="1" si="11"/>
        <v>90.413982222222231</v>
      </c>
    </row>
    <row r="11" spans="1:15" x14ac:dyDescent="0.3">
      <c r="A11" t="s">
        <v>2001</v>
      </c>
      <c r="B11" t="str">
        <f t="shared" ca="1" si="0"/>
        <v xml:space="preserve">23- 40- </v>
      </c>
      <c r="C11" t="str">
        <f t="shared" ca="1" si="1"/>
        <v>18.475 N</v>
      </c>
      <c r="D11" t="str">
        <f t="shared" ca="1" si="2"/>
        <v>}</v>
      </c>
      <c r="E11" t="str">
        <f t="shared" ca="1" si="3"/>
        <v>23- 40- }18.475 N</v>
      </c>
      <c r="F11" t="str">
        <f t="shared" ca="1" si="4"/>
        <v>23- 40- }18.475 N</v>
      </c>
      <c r="H11" t="s">
        <v>2495</v>
      </c>
      <c r="I11" t="str">
        <f t="shared" ca="1" si="5"/>
        <v>9</v>
      </c>
      <c r="J11" t="str">
        <f t="shared" ca="1" si="6"/>
        <v>0- 25- 25.605 E</v>
      </c>
      <c r="K11" t="str">
        <f t="shared" ca="1" si="7"/>
        <v>uuu</v>
      </c>
      <c r="L11" t="str">
        <f t="shared" ca="1" si="8"/>
        <v>9uuu0- 25- 25.605 E</v>
      </c>
      <c r="M11" t="str">
        <f t="shared" ca="1" si="9"/>
        <v>9uuu0- 25- 25.605 E</v>
      </c>
      <c r="N11">
        <f t="shared" ca="1" si="10"/>
        <v>23.671798611111111</v>
      </c>
      <c r="O11">
        <f t="shared" ca="1" si="11"/>
        <v>90.423779166666677</v>
      </c>
    </row>
    <row r="12" spans="1:15" x14ac:dyDescent="0.3">
      <c r="A12" t="s">
        <v>2002</v>
      </c>
      <c r="B12" t="str">
        <f t="shared" ca="1" si="0"/>
        <v>23-</v>
      </c>
      <c r="C12" t="str">
        <f t="shared" ca="1" si="1"/>
        <v xml:space="preserve"> 40- 19.061 N</v>
      </c>
      <c r="D12" t="str">
        <f t="shared" ca="1" si="2"/>
        <v>l</v>
      </c>
      <c r="E12" t="str">
        <f t="shared" ca="1" si="3"/>
        <v>23-l 40- 19.061 N</v>
      </c>
      <c r="F12" t="str">
        <f t="shared" ca="1" si="4"/>
        <v>23-l 40- 19.061 N</v>
      </c>
      <c r="H12" t="s">
        <v>2496</v>
      </c>
      <c r="I12" t="str">
        <f t="shared" ca="1" si="5"/>
        <v>90- 26- 0.8</v>
      </c>
      <c r="J12" t="str">
        <f t="shared" ca="1" si="6"/>
        <v>75 E</v>
      </c>
      <c r="K12" t="str">
        <f t="shared" ca="1" si="7"/>
        <v>]]]]</v>
      </c>
      <c r="L12" t="str">
        <f t="shared" ca="1" si="8"/>
        <v>90- 26- 0.8]]]]75 E</v>
      </c>
      <c r="M12" t="str">
        <f t="shared" ca="1" si="9"/>
        <v>90- 26- 0.8]]]]75 E</v>
      </c>
      <c r="N12">
        <f t="shared" ca="1" si="10"/>
        <v>23.671961388888889</v>
      </c>
      <c r="O12">
        <f t="shared" ca="1" si="11"/>
        <v>90.433576388888895</v>
      </c>
    </row>
    <row r="13" spans="1:15" x14ac:dyDescent="0.3">
      <c r="A13" t="s">
        <v>2003</v>
      </c>
      <c r="B13" t="str">
        <f t="shared" ca="1" si="0"/>
        <v xml:space="preserve">23- </v>
      </c>
      <c r="C13" t="str">
        <f t="shared" ca="1" si="1"/>
        <v>40- 19.644 N</v>
      </c>
      <c r="D13" t="str">
        <f t="shared" ca="1" si="2"/>
        <v>OO</v>
      </c>
      <c r="E13" t="str">
        <f t="shared" ca="1" si="3"/>
        <v>23- OO40- 19.644 N</v>
      </c>
      <c r="F13" t="str">
        <f t="shared" ca="1" si="4"/>
        <v>23- OO40- 19.644 N</v>
      </c>
      <c r="H13" t="s">
        <v>2497</v>
      </c>
      <c r="I13" t="str">
        <f t="shared" ca="1" si="5"/>
        <v xml:space="preserve">90- </v>
      </c>
      <c r="J13" t="str">
        <f t="shared" ca="1" si="6"/>
        <v>26- 36.145 E</v>
      </c>
      <c r="K13" t="str">
        <f t="shared" ca="1" si="7"/>
        <v>vv</v>
      </c>
      <c r="L13" t="str">
        <f t="shared" ca="1" si="8"/>
        <v>90- vv26- 36.145 E</v>
      </c>
      <c r="M13" t="str">
        <f t="shared" ca="1" si="9"/>
        <v>90- vv26- 36.145 E</v>
      </c>
      <c r="N13">
        <f t="shared" ca="1" si="10"/>
        <v>23.672123333333335</v>
      </c>
      <c r="O13">
        <f t="shared" ca="1" si="11"/>
        <v>90.443373611111113</v>
      </c>
    </row>
    <row r="14" spans="1:15" x14ac:dyDescent="0.3">
      <c r="A14" t="s">
        <v>2004</v>
      </c>
      <c r="B14" t="str">
        <f t="shared" ca="1" si="0"/>
        <v>23- 40- 2</v>
      </c>
      <c r="C14" t="str">
        <f t="shared" ca="1" si="1"/>
        <v>0.226 N</v>
      </c>
      <c r="D14" t="str">
        <f t="shared" ca="1" si="2"/>
        <v>r</v>
      </c>
      <c r="E14" t="str">
        <f t="shared" ca="1" si="3"/>
        <v>23- 40- 2r0.226 N</v>
      </c>
      <c r="F14" t="str">
        <f t="shared" ca="1" si="4"/>
        <v>23- 40- 2r0.226 N</v>
      </c>
      <c r="H14" t="s">
        <v>2498</v>
      </c>
      <c r="I14" t="str">
        <f t="shared" ca="1" si="5"/>
        <v xml:space="preserve">90- 27- 11.416 </v>
      </c>
      <c r="J14" t="str">
        <f t="shared" ca="1" si="6"/>
        <v>E</v>
      </c>
      <c r="K14" t="str">
        <f t="shared" ca="1" si="7"/>
        <v>o</v>
      </c>
      <c r="L14" t="str">
        <f t="shared" ca="1" si="8"/>
        <v>90- 27- 11.416 oE</v>
      </c>
      <c r="M14" t="str">
        <f t="shared" ca="1" si="9"/>
        <v>90- 27- 11.416 oE</v>
      </c>
      <c r="N14">
        <f t="shared" ca="1" si="10"/>
        <v>23.672285000000002</v>
      </c>
      <c r="O14">
        <f t="shared" ca="1" si="11"/>
        <v>90.453171111111118</v>
      </c>
    </row>
    <row r="15" spans="1:15" x14ac:dyDescent="0.3">
      <c r="A15" t="s">
        <v>2005</v>
      </c>
      <c r="B15" t="str">
        <f t="shared" ca="1" si="0"/>
        <v>23- 40- 20.805</v>
      </c>
      <c r="C15" t="str">
        <f t="shared" ca="1" si="1"/>
        <v xml:space="preserve"> N</v>
      </c>
      <c r="D15" t="str">
        <f t="shared" ca="1" si="2"/>
        <v>qqqqq</v>
      </c>
      <c r="E15" t="str">
        <f t="shared" ca="1" si="3"/>
        <v>23- 40- 20.805qqqqq N</v>
      </c>
      <c r="F15" t="str">
        <f t="shared" ca="1" si="4"/>
        <v>23- 40- 20.805qqqqq N</v>
      </c>
      <c r="H15" t="s">
        <v>2499</v>
      </c>
      <c r="I15" t="str">
        <f t="shared" ca="1" si="5"/>
        <v>90</v>
      </c>
      <c r="J15" t="str">
        <f t="shared" ca="1" si="6"/>
        <v>- 27- 46.686 E</v>
      </c>
      <c r="K15" t="str">
        <f t="shared" ca="1" si="7"/>
        <v>UUUU</v>
      </c>
      <c r="L15" t="str">
        <f t="shared" ca="1" si="8"/>
        <v>90UUUU- 27- 46.686 E</v>
      </c>
      <c r="M15" t="str">
        <f t="shared" ca="1" si="9"/>
        <v>90UUUU- 27- 46.686 E</v>
      </c>
      <c r="N15">
        <f t="shared" ca="1" si="10"/>
        <v>23.672445833333335</v>
      </c>
      <c r="O15">
        <f t="shared" ca="1" si="11"/>
        <v>90.462968333333336</v>
      </c>
    </row>
    <row r="16" spans="1:15" x14ac:dyDescent="0.3">
      <c r="A16" t="s">
        <v>2006</v>
      </c>
      <c r="B16" t="str">
        <f t="shared" ca="1" si="0"/>
        <v>23- 40- 21</v>
      </c>
      <c r="C16" t="str">
        <f t="shared" ca="1" si="1"/>
        <v>.382 N</v>
      </c>
      <c r="D16" t="str">
        <f t="shared" ca="1" si="2"/>
        <v>m</v>
      </c>
      <c r="E16" t="str">
        <f t="shared" ca="1" si="3"/>
        <v>23- 40- 21m.382 N</v>
      </c>
      <c r="F16" t="str">
        <f t="shared" ca="1" si="4"/>
        <v>23- 40- 21m.382 N</v>
      </c>
      <c r="H16" t="s">
        <v>2500</v>
      </c>
      <c r="I16" t="str">
        <f t="shared" ca="1" si="5"/>
        <v>90- 2</v>
      </c>
      <c r="J16" t="str">
        <f t="shared" ca="1" si="6"/>
        <v>8- 21.957 E</v>
      </c>
      <c r="K16" t="str">
        <f t="shared" ca="1" si="7"/>
        <v>vv</v>
      </c>
      <c r="L16" t="str">
        <f t="shared" ca="1" si="8"/>
        <v>90- 2vv8- 21.957 E</v>
      </c>
      <c r="M16" t="str">
        <f t="shared" ca="1" si="9"/>
        <v>90- 2vv8- 21.957 E</v>
      </c>
      <c r="N16">
        <f t="shared" ca="1" si="10"/>
        <v>23.672606111111111</v>
      </c>
      <c r="O16">
        <f t="shared" ca="1" si="11"/>
        <v>90.472765833333341</v>
      </c>
    </row>
    <row r="17" spans="1:15" x14ac:dyDescent="0.3">
      <c r="A17" t="s">
        <v>2007</v>
      </c>
      <c r="B17" t="str">
        <f t="shared" ca="1" si="0"/>
        <v>23- 40- 21</v>
      </c>
      <c r="C17" t="str">
        <f t="shared" ca="1" si="1"/>
        <v>.956 N</v>
      </c>
      <c r="D17" t="str">
        <f t="shared" ca="1" si="2"/>
        <v></v>
      </c>
      <c r="E17" t="str">
        <f t="shared" ca="1" si="3"/>
        <v>23- 40- 21.956 N</v>
      </c>
      <c r="F17" t="str">
        <f t="shared" ca="1" si="4"/>
        <v>23- 40- 21.956 N</v>
      </c>
      <c r="H17" t="s">
        <v>2501</v>
      </c>
      <c r="I17" t="str">
        <f t="shared" ca="1" si="5"/>
        <v>90- 28- 5</v>
      </c>
      <c r="J17" t="str">
        <f t="shared" ca="1" si="6"/>
        <v>7.228 E</v>
      </c>
      <c r="K17" t="str">
        <f t="shared" ca="1" si="7"/>
        <v>qq</v>
      </c>
      <c r="L17" t="str">
        <f t="shared" ca="1" si="8"/>
        <v>90- 28- 5qq7.228 E</v>
      </c>
      <c r="M17" t="str">
        <f t="shared" ca="1" si="9"/>
        <v>90- 28- 5qq7.228 E</v>
      </c>
      <c r="N17">
        <f t="shared" ca="1" si="10"/>
        <v>23.672765555555557</v>
      </c>
      <c r="O17">
        <f t="shared" ca="1" si="11"/>
        <v>90.482563333333331</v>
      </c>
    </row>
    <row r="18" spans="1:15" x14ac:dyDescent="0.3">
      <c r="A18" t="s">
        <v>2008</v>
      </c>
      <c r="B18" t="str">
        <f t="shared" ca="1" si="0"/>
        <v xml:space="preserve">23- 40- 22.529 </v>
      </c>
      <c r="C18" t="str">
        <f t="shared" ca="1" si="1"/>
        <v>N</v>
      </c>
      <c r="D18" t="str">
        <f t="shared" ca="1" si="2"/>
        <v>pppp</v>
      </c>
      <c r="E18" t="str">
        <f t="shared" ca="1" si="3"/>
        <v>23- 40- 22.529 ppppN</v>
      </c>
      <c r="F18" t="str">
        <f t="shared" ca="1" si="4"/>
        <v>23- 40- 22.529 ppppN</v>
      </c>
      <c r="H18" t="s">
        <v>2502</v>
      </c>
      <c r="I18" t="str">
        <f t="shared" ca="1" si="5"/>
        <v>90- 29- 3</v>
      </c>
      <c r="J18" t="str">
        <f t="shared" ca="1" si="6"/>
        <v>2.500 E</v>
      </c>
      <c r="K18" t="str">
        <f t="shared" ca="1" si="7"/>
        <v>y</v>
      </c>
      <c r="L18" t="str">
        <f t="shared" ca="1" si="8"/>
        <v>90- 29- 3y2.500 E</v>
      </c>
      <c r="M18" t="str">
        <f t="shared" ca="1" si="9"/>
        <v>90- 29- 3y2.500 E</v>
      </c>
      <c r="N18">
        <f t="shared" ca="1" si="10"/>
        <v>23.672924722222223</v>
      </c>
      <c r="O18">
        <f t="shared" ca="1" si="11"/>
        <v>90.492361111111109</v>
      </c>
    </row>
    <row r="19" spans="1:15" x14ac:dyDescent="0.3">
      <c r="A19" t="s">
        <v>2009</v>
      </c>
      <c r="B19" t="str">
        <f t="shared" ca="1" si="0"/>
        <v xml:space="preserve">23- </v>
      </c>
      <c r="C19" t="str">
        <f t="shared" ca="1" si="1"/>
        <v>40- 23.099 N</v>
      </c>
      <c r="D19" t="str">
        <f t="shared" ca="1" si="2"/>
        <v>bb</v>
      </c>
      <c r="E19" t="str">
        <f t="shared" ca="1" si="3"/>
        <v>23- bb40- 23.099 N</v>
      </c>
      <c r="F19" t="str">
        <f t="shared" ca="1" si="4"/>
        <v>23- bb40- 23.099 N</v>
      </c>
      <c r="H19" t="s">
        <v>2503</v>
      </c>
      <c r="I19" t="str">
        <f t="shared" ca="1" si="5"/>
        <v>90</v>
      </c>
      <c r="J19" t="str">
        <f t="shared" ca="1" si="6"/>
        <v>- 30- 7.772 E</v>
      </c>
      <c r="K19" t="str">
        <f t="shared" ca="1" si="7"/>
        <v>RRRRR</v>
      </c>
      <c r="L19" t="str">
        <f t="shared" ca="1" si="8"/>
        <v>90RRRRR- 30- 7.772 E</v>
      </c>
      <c r="M19" t="str">
        <f t="shared" ca="1" si="9"/>
        <v>90RRRRR- 30- 7.772 E</v>
      </c>
      <c r="N19">
        <f t="shared" ca="1" si="10"/>
        <v>23.673083055555558</v>
      </c>
      <c r="O19">
        <f t="shared" ca="1" si="11"/>
        <v>90.502158888888886</v>
      </c>
    </row>
    <row r="20" spans="1:15" x14ac:dyDescent="0.3">
      <c r="A20" t="s">
        <v>2010</v>
      </c>
      <c r="B20" t="str">
        <f t="shared" ca="1" si="0"/>
        <v>2</v>
      </c>
      <c r="C20" t="str">
        <f t="shared" ca="1" si="1"/>
        <v>3- 40- 3.667 N</v>
      </c>
      <c r="D20" t="str">
        <f t="shared" ca="1" si="2"/>
        <v>p</v>
      </c>
      <c r="E20" t="str">
        <f t="shared" ca="1" si="3"/>
        <v>2p3- 40- 3.667 N</v>
      </c>
      <c r="F20" t="str">
        <f t="shared" ca="1" si="4"/>
        <v>2p3- 40- 3.667 N</v>
      </c>
      <c r="H20" t="s">
        <v>2504</v>
      </c>
      <c r="I20" t="str">
        <f t="shared" ca="1" si="5"/>
        <v xml:space="preserve">90- 30- 43.044 </v>
      </c>
      <c r="J20" t="str">
        <f t="shared" ca="1" si="6"/>
        <v>E</v>
      </c>
      <c r="K20" t="str">
        <f t="shared" ca="1" si="7"/>
        <v>L</v>
      </c>
      <c r="L20" t="str">
        <f t="shared" ca="1" si="8"/>
        <v>90- 30- 43.044 LE</v>
      </c>
      <c r="M20" t="str">
        <f t="shared" ca="1" si="9"/>
        <v>90- 30- 43.044 LE</v>
      </c>
      <c r="N20">
        <f t="shared" ca="1" si="10"/>
        <v>23.667685277777778</v>
      </c>
      <c r="O20">
        <f t="shared" ca="1" si="11"/>
        <v>90.511956666666663</v>
      </c>
    </row>
    <row r="21" spans="1:15" x14ac:dyDescent="0.3">
      <c r="A21" t="s">
        <v>2011</v>
      </c>
      <c r="B21" t="str">
        <f t="shared" ca="1" si="0"/>
        <v>23- 40- 45.58</v>
      </c>
      <c r="C21" t="str">
        <f t="shared" ca="1" si="1"/>
        <v>6 N</v>
      </c>
      <c r="D21" t="str">
        <f t="shared" ca="1" si="2"/>
        <v></v>
      </c>
      <c r="E21" t="str">
        <f t="shared" ca="1" si="3"/>
        <v>23- 40- 45.586 N</v>
      </c>
      <c r="F21" t="str">
        <f t="shared" ca="1" si="4"/>
        <v>23- 40- 45.586 N</v>
      </c>
      <c r="H21" t="s">
        <v>2505</v>
      </c>
      <c r="I21" t="str">
        <f t="shared" ca="1" si="5"/>
        <v>90- 20- 7.</v>
      </c>
      <c r="J21" t="str">
        <f t="shared" ca="1" si="6"/>
        <v>533 E</v>
      </c>
      <c r="K21" t="str">
        <f t="shared" ca="1" si="7"/>
        <v>~~~~</v>
      </c>
      <c r="L21" t="str">
        <f t="shared" ca="1" si="8"/>
        <v>90- 20- 7.~~~~533 E</v>
      </c>
      <c r="M21" t="str">
        <f t="shared" ca="1" si="9"/>
        <v>90- 20- 7.~~~~533 E</v>
      </c>
      <c r="N21">
        <f t="shared" ca="1" si="10"/>
        <v>23.679329444444445</v>
      </c>
      <c r="O21">
        <f t="shared" ca="1" si="11"/>
        <v>90.335425833333332</v>
      </c>
    </row>
    <row r="22" spans="1:15" x14ac:dyDescent="0.3">
      <c r="A22" t="s">
        <v>2012</v>
      </c>
      <c r="B22" t="str">
        <f t="shared" ca="1" si="0"/>
        <v>23-</v>
      </c>
      <c r="C22" t="str">
        <f t="shared" ca="1" si="1"/>
        <v xml:space="preserve"> 40- 46.192 N</v>
      </c>
      <c r="D22" t="str">
        <f t="shared" ca="1" si="2"/>
        <v>~~~~~</v>
      </c>
      <c r="E22" t="str">
        <f t="shared" ca="1" si="3"/>
        <v>23-~~~~~ 40- 46.192 N</v>
      </c>
      <c r="F22" t="str">
        <f t="shared" ca="1" si="4"/>
        <v>23-~~~~~ 40- 46.192 N</v>
      </c>
      <c r="H22" t="s">
        <v>2506</v>
      </c>
      <c r="I22" t="str">
        <f t="shared" ca="1" si="5"/>
        <v>90</v>
      </c>
      <c r="J22" t="str">
        <f t="shared" ca="1" si="6"/>
        <v>- 20- 42.803 E</v>
      </c>
      <c r="K22" t="str">
        <f t="shared" ca="1" si="7"/>
        <v>CCCCC</v>
      </c>
      <c r="L22" t="str">
        <f t="shared" ca="1" si="8"/>
        <v>90CCCCC- 20- 42.803 E</v>
      </c>
      <c r="M22" t="str">
        <f t="shared" ca="1" si="9"/>
        <v>90CCCCC- 20- 42.803 E</v>
      </c>
      <c r="N22">
        <f t="shared" ca="1" si="10"/>
        <v>23.67949777777778</v>
      </c>
      <c r="O22">
        <f t="shared" ca="1" si="11"/>
        <v>90.34522305555555</v>
      </c>
    </row>
    <row r="23" spans="1:15" x14ac:dyDescent="0.3">
      <c r="A23" t="s">
        <v>2013</v>
      </c>
      <c r="B23" t="str">
        <f t="shared" ca="1" si="0"/>
        <v>23- 40- 46.79</v>
      </c>
      <c r="C23" t="str">
        <f t="shared" ca="1" si="1"/>
        <v>6 N</v>
      </c>
      <c r="D23" t="str">
        <f t="shared" ca="1" si="2"/>
        <v>~</v>
      </c>
      <c r="E23" t="str">
        <f t="shared" ca="1" si="3"/>
        <v>23- 40- 46.79~6 N</v>
      </c>
      <c r="F23" t="str">
        <f t="shared" ca="1" si="4"/>
        <v>23- 40- 46.79~6 N</v>
      </c>
      <c r="H23" t="s">
        <v>2507</v>
      </c>
      <c r="I23" t="str">
        <f t="shared" ca="1" si="5"/>
        <v>90- 21- 1</v>
      </c>
      <c r="J23" t="str">
        <f t="shared" ca="1" si="6"/>
        <v>8.072 E</v>
      </c>
      <c r="K23" t="str">
        <f t="shared" ca="1" si="7"/>
        <v>ii</v>
      </c>
      <c r="L23" t="str">
        <f t="shared" ca="1" si="8"/>
        <v>90- 21- 1ii8.072 E</v>
      </c>
      <c r="M23" t="str">
        <f t="shared" ca="1" si="9"/>
        <v>90- 21- 1ii8.072 E</v>
      </c>
      <c r="N23">
        <f t="shared" ca="1" si="10"/>
        <v>23.679665555555555</v>
      </c>
      <c r="O23">
        <f t="shared" ca="1" si="11"/>
        <v>90.355019999999996</v>
      </c>
    </row>
    <row r="24" spans="1:15" x14ac:dyDescent="0.3">
      <c r="A24" t="s">
        <v>2014</v>
      </c>
      <c r="B24" t="str">
        <f t="shared" ca="1" si="0"/>
        <v>23- 40- 47</v>
      </c>
      <c r="C24" t="str">
        <f t="shared" ca="1" si="1"/>
        <v>.397 N</v>
      </c>
      <c r="D24" t="str">
        <f t="shared" ca="1" si="2"/>
        <v>j</v>
      </c>
      <c r="E24" t="str">
        <f t="shared" ca="1" si="3"/>
        <v>23- 40- 47j.397 N</v>
      </c>
      <c r="F24" t="str">
        <f t="shared" ca="1" si="4"/>
        <v>23- 40- 47j.397 N</v>
      </c>
      <c r="H24" t="s">
        <v>2508</v>
      </c>
      <c r="I24" t="str">
        <f t="shared" ca="1" si="5"/>
        <v>90- 21- 53.</v>
      </c>
      <c r="J24" t="str">
        <f t="shared" ca="1" si="6"/>
        <v>342 E</v>
      </c>
      <c r="K24" t="str">
        <f t="shared" ca="1" si="7"/>
        <v>YYY</v>
      </c>
      <c r="L24" t="str">
        <f t="shared" ca="1" si="8"/>
        <v>90- 21- 53.YYY342 E</v>
      </c>
      <c r="M24" t="str">
        <f t="shared" ca="1" si="9"/>
        <v>90- 21- 53.YYY342 E</v>
      </c>
      <c r="N24">
        <f t="shared" ca="1" si="10"/>
        <v>23.6798325</v>
      </c>
      <c r="O24">
        <f t="shared" ca="1" si="11"/>
        <v>90.364817222222214</v>
      </c>
    </row>
    <row r="25" spans="1:15" x14ac:dyDescent="0.3">
      <c r="A25" t="s">
        <v>2015</v>
      </c>
      <c r="B25" t="str">
        <f t="shared" ca="1" si="0"/>
        <v>23- 40- 47.997 N</v>
      </c>
      <c r="C25" t="str">
        <f t="shared" ca="1" si="1"/>
        <v/>
      </c>
      <c r="D25" t="str">
        <f t="shared" ca="1" si="2"/>
        <v>DD</v>
      </c>
      <c r="E25" t="str">
        <f t="shared" ca="1" si="3"/>
        <v>23- 40- 47.997 NDD</v>
      </c>
      <c r="F25" t="str">
        <f t="shared" ca="1" si="4"/>
        <v>23- 40- 47.997 NDD</v>
      </c>
      <c r="H25" t="s">
        <v>2509</v>
      </c>
      <c r="I25" t="str">
        <f t="shared" ca="1" si="5"/>
        <v>90- 22</v>
      </c>
      <c r="J25" t="str">
        <f t="shared" ca="1" si="6"/>
        <v>- 28.612 E</v>
      </c>
      <c r="K25" t="str">
        <f t="shared" ca="1" si="7"/>
        <v>AAA</v>
      </c>
      <c r="L25" t="str">
        <f t="shared" ca="1" si="8"/>
        <v>90- 22AAA- 28.612 E</v>
      </c>
      <c r="M25" t="str">
        <f t="shared" ca="1" si="9"/>
        <v>90- 22AAA- 28.612 E</v>
      </c>
      <c r="N25">
        <f t="shared" ca="1" si="10"/>
        <v>23.679999166666668</v>
      </c>
      <c r="O25">
        <f t="shared" ca="1" si="11"/>
        <v>90.374614444444433</v>
      </c>
    </row>
    <row r="26" spans="1:15" x14ac:dyDescent="0.3">
      <c r="A26" t="s">
        <v>2016</v>
      </c>
      <c r="B26" t="str">
        <f t="shared" ca="1" si="0"/>
        <v>23- 4</v>
      </c>
      <c r="C26" t="str">
        <f t="shared" ca="1" si="1"/>
        <v>0- 48.594 N</v>
      </c>
      <c r="D26" t="str">
        <f t="shared" ca="1" si="2"/>
        <v>dddd</v>
      </c>
      <c r="E26" t="str">
        <f t="shared" ca="1" si="3"/>
        <v>23- 4dddd0- 48.594 N</v>
      </c>
      <c r="F26" t="str">
        <f t="shared" ca="1" si="4"/>
        <v>23- 4dddd0- 48.594 N</v>
      </c>
      <c r="H26" t="s">
        <v>2510</v>
      </c>
      <c r="I26" t="str">
        <f t="shared" ca="1" si="5"/>
        <v>90- 23- 3.88</v>
      </c>
      <c r="J26" t="str">
        <f t="shared" ca="1" si="6"/>
        <v>3 E</v>
      </c>
      <c r="K26" t="str">
        <f t="shared" ca="1" si="7"/>
        <v>`</v>
      </c>
      <c r="L26" t="str">
        <f t="shared" ca="1" si="8"/>
        <v>90- 23- 3.88`3 E</v>
      </c>
      <c r="M26" t="str">
        <f t="shared" ca="1" si="9"/>
        <v>90- 23- 3.88`3 E</v>
      </c>
      <c r="N26">
        <f t="shared" ca="1" si="10"/>
        <v>23.680165000000002</v>
      </c>
      <c r="O26">
        <f t="shared" ca="1" si="11"/>
        <v>90.384411944444452</v>
      </c>
    </row>
    <row r="27" spans="1:15" x14ac:dyDescent="0.3">
      <c r="A27" t="s">
        <v>2017</v>
      </c>
      <c r="B27" t="str">
        <f t="shared" ca="1" si="0"/>
        <v>23- 40</v>
      </c>
      <c r="C27" t="str">
        <f t="shared" ca="1" si="1"/>
        <v>- 49.189 N</v>
      </c>
      <c r="D27" t="str">
        <f t="shared" ca="1" si="2"/>
        <v>nnn</v>
      </c>
      <c r="E27" t="str">
        <f t="shared" ca="1" si="3"/>
        <v>23- 40nnn- 49.189 N</v>
      </c>
      <c r="F27" t="str">
        <f t="shared" ca="1" si="4"/>
        <v>23- 40nnn- 49.189 N</v>
      </c>
      <c r="H27" t="s">
        <v>2511</v>
      </c>
      <c r="I27" t="str">
        <f t="shared" ca="1" si="5"/>
        <v xml:space="preserve">90- </v>
      </c>
      <c r="J27" t="str">
        <f t="shared" ca="1" si="6"/>
        <v>23- 39.154 E</v>
      </c>
      <c r="K27" t="str">
        <f t="shared" ca="1" si="7"/>
        <v>wwwww</v>
      </c>
      <c r="L27" t="str">
        <f t="shared" ca="1" si="8"/>
        <v>90- wwwww23- 39.154 E</v>
      </c>
      <c r="M27" t="str">
        <f t="shared" ca="1" si="9"/>
        <v>90- wwwww23- 39.154 E</v>
      </c>
      <c r="N27">
        <f t="shared" ca="1" si="10"/>
        <v>23.680330277777777</v>
      </c>
      <c r="O27">
        <f t="shared" ca="1" si="11"/>
        <v>90.394209444444456</v>
      </c>
    </row>
    <row r="28" spans="1:15" x14ac:dyDescent="0.3">
      <c r="A28" t="s">
        <v>2018</v>
      </c>
      <c r="B28" t="str">
        <f t="shared" ca="1" si="0"/>
        <v xml:space="preserve">23- 40- </v>
      </c>
      <c r="C28" t="str">
        <f t="shared" ca="1" si="1"/>
        <v>49.781 N</v>
      </c>
      <c r="D28" t="str">
        <f t="shared" ca="1" si="2"/>
        <v>Z</v>
      </c>
      <c r="E28" t="str">
        <f t="shared" ca="1" si="3"/>
        <v>23- 40- Z49.781 N</v>
      </c>
      <c r="F28" t="str">
        <f t="shared" ca="1" si="4"/>
        <v>23- 40- Z49.781 N</v>
      </c>
      <c r="H28" t="s">
        <v>2512</v>
      </c>
      <c r="I28" t="str">
        <f t="shared" ca="1" si="5"/>
        <v>90-</v>
      </c>
      <c r="J28" t="str">
        <f t="shared" ca="1" si="6"/>
        <v xml:space="preserve"> 24- 14.425 E</v>
      </c>
      <c r="K28" t="str">
        <f t="shared" ca="1" si="7"/>
        <v>E</v>
      </c>
      <c r="L28" t="str">
        <f t="shared" ca="1" si="8"/>
        <v>90-E 24- 14.425 E</v>
      </c>
      <c r="M28" t="str">
        <f t="shared" ca="1" si="9"/>
        <v>90-E 24- 14.425 E</v>
      </c>
      <c r="N28">
        <f t="shared" ca="1" si="10"/>
        <v>23.680494722222225</v>
      </c>
      <c r="O28">
        <f t="shared" ca="1" si="11"/>
        <v>90.404006944444447</v>
      </c>
    </row>
    <row r="29" spans="1:15" x14ac:dyDescent="0.3">
      <c r="A29" t="s">
        <v>2019</v>
      </c>
      <c r="B29" t="str">
        <f t="shared" ca="1" si="0"/>
        <v>23</v>
      </c>
      <c r="C29" t="str">
        <f t="shared" ca="1" si="1"/>
        <v>- 40- 50.372 N</v>
      </c>
      <c r="D29" t="str">
        <f t="shared" ca="1" si="2"/>
        <v>^^^^</v>
      </c>
      <c r="E29" t="str">
        <f t="shared" ca="1" si="3"/>
        <v>23^^^^- 40- 50.372 N</v>
      </c>
      <c r="F29" t="str">
        <f t="shared" ca="1" si="4"/>
        <v>23^^^^- 40- 50.372 N</v>
      </c>
      <c r="H29" t="s">
        <v>2513</v>
      </c>
      <c r="I29" t="str">
        <f t="shared" ca="1" si="5"/>
        <v>90- 24- 4</v>
      </c>
      <c r="J29" t="str">
        <f t="shared" ca="1" si="6"/>
        <v>9.696 E</v>
      </c>
      <c r="K29" t="str">
        <f t="shared" ca="1" si="7"/>
        <v>J</v>
      </c>
      <c r="L29" t="str">
        <f t="shared" ca="1" si="8"/>
        <v>90- 24- 4J9.696 E</v>
      </c>
      <c r="M29" t="str">
        <f t="shared" ca="1" si="9"/>
        <v>90- 24- 4J9.696 E</v>
      </c>
      <c r="N29">
        <f t="shared" ca="1" si="10"/>
        <v>23.680658888888889</v>
      </c>
      <c r="O29">
        <f t="shared" ca="1" si="11"/>
        <v>90.413804444444452</v>
      </c>
    </row>
    <row r="30" spans="1:15" x14ac:dyDescent="0.3">
      <c r="A30" t="s">
        <v>2020</v>
      </c>
      <c r="B30" t="str">
        <f t="shared" ca="1" si="0"/>
        <v xml:space="preserve">23- 40- </v>
      </c>
      <c r="C30" t="str">
        <f t="shared" ca="1" si="1"/>
        <v>50.960 N</v>
      </c>
      <c r="D30" t="str">
        <f t="shared" ca="1" si="2"/>
        <v>A</v>
      </c>
      <c r="E30" t="str">
        <f t="shared" ca="1" si="3"/>
        <v>23- 40- A50.960 N</v>
      </c>
      <c r="F30" t="str">
        <f t="shared" ca="1" si="4"/>
        <v>23- 40- A50.960 N</v>
      </c>
      <c r="H30" t="s">
        <v>2514</v>
      </c>
      <c r="I30" t="str">
        <f t="shared" ca="1" si="5"/>
        <v xml:space="preserve">90- 25- </v>
      </c>
      <c r="J30" t="str">
        <f t="shared" ca="1" si="6"/>
        <v>24.968 E</v>
      </c>
      <c r="K30" t="str">
        <f t="shared" ca="1" si="7"/>
        <v>MM</v>
      </c>
      <c r="L30" t="str">
        <f t="shared" ca="1" si="8"/>
        <v>90- 25- MM24.968 E</v>
      </c>
      <c r="M30" t="str">
        <f t="shared" ca="1" si="9"/>
        <v>90- 25- MM24.968 E</v>
      </c>
      <c r="N30">
        <f t="shared" ca="1" si="10"/>
        <v>23.680822222222222</v>
      </c>
      <c r="O30">
        <f t="shared" ca="1" si="11"/>
        <v>90.423602222222229</v>
      </c>
    </row>
    <row r="31" spans="1:15" x14ac:dyDescent="0.3">
      <c r="A31" t="s">
        <v>2021</v>
      </c>
      <c r="B31" t="str">
        <f t="shared" ca="1" si="0"/>
        <v>23- 40- 51.</v>
      </c>
      <c r="C31" t="str">
        <f t="shared" ca="1" si="1"/>
        <v>546 N</v>
      </c>
      <c r="D31" t="str">
        <f t="shared" ca="1" si="2"/>
        <v>^</v>
      </c>
      <c r="E31" t="str">
        <f t="shared" ca="1" si="3"/>
        <v>23- 40- 51.^546 N</v>
      </c>
      <c r="F31" t="str">
        <f t="shared" ca="1" si="4"/>
        <v>23- 40- 51.^546 N</v>
      </c>
      <c r="H31" t="s">
        <v>2515</v>
      </c>
      <c r="I31" t="str">
        <f t="shared" ca="1" si="5"/>
        <v>90-</v>
      </c>
      <c r="J31" t="str">
        <f t="shared" ca="1" si="6"/>
        <v xml:space="preserve"> 26- 0.240 E</v>
      </c>
      <c r="K31" t="str">
        <f t="shared" ca="1" si="7"/>
        <v>€€€</v>
      </c>
      <c r="L31" t="str">
        <f t="shared" ca="1" si="8"/>
        <v>90-€€€ 26- 0.240 E</v>
      </c>
      <c r="M31" t="str">
        <f t="shared" ca="1" si="9"/>
        <v>90-€€€ 26- 0.240 E</v>
      </c>
      <c r="N31">
        <f t="shared" ca="1" si="10"/>
        <v>23.680985</v>
      </c>
      <c r="O31">
        <f t="shared" ca="1" si="11"/>
        <v>90.433400000000006</v>
      </c>
    </row>
    <row r="32" spans="1:15" x14ac:dyDescent="0.3">
      <c r="A32" t="s">
        <v>2022</v>
      </c>
      <c r="B32" t="str">
        <f t="shared" ca="1" si="0"/>
        <v xml:space="preserve">23- 40- </v>
      </c>
      <c r="C32" t="str">
        <f t="shared" ca="1" si="1"/>
        <v>52.130 N</v>
      </c>
      <c r="D32" t="str">
        <f t="shared" ca="1" si="2"/>
        <v>UUU</v>
      </c>
      <c r="E32" t="str">
        <f t="shared" ca="1" si="3"/>
        <v>23- 40- UUU52.130 N</v>
      </c>
      <c r="F32" t="str">
        <f t="shared" ca="1" si="4"/>
        <v>23- 40- UUU52.130 N</v>
      </c>
      <c r="H32" t="s">
        <v>2516</v>
      </c>
      <c r="I32" t="str">
        <f t="shared" ca="1" si="5"/>
        <v>90- 26- 35.513</v>
      </c>
      <c r="J32" t="str">
        <f t="shared" ca="1" si="6"/>
        <v xml:space="preserve"> E</v>
      </c>
      <c r="K32" t="str">
        <f t="shared" ca="1" si="7"/>
        <v>S</v>
      </c>
      <c r="L32" t="str">
        <f t="shared" ca="1" si="8"/>
        <v>90- 26- 35.513S E</v>
      </c>
      <c r="M32" t="str">
        <f t="shared" ca="1" si="9"/>
        <v>90- 26- 35.513S E</v>
      </c>
      <c r="N32">
        <f t="shared" ca="1" si="10"/>
        <v>23.681147222222222</v>
      </c>
      <c r="O32">
        <f t="shared" ca="1" si="11"/>
        <v>90.443198055555555</v>
      </c>
    </row>
    <row r="33" spans="1:15" x14ac:dyDescent="0.3">
      <c r="A33" t="s">
        <v>2023</v>
      </c>
      <c r="B33" t="str">
        <f t="shared" ca="1" si="0"/>
        <v xml:space="preserve">23- 40- </v>
      </c>
      <c r="C33" t="str">
        <f t="shared" ca="1" si="1"/>
        <v>52.711 N</v>
      </c>
      <c r="D33" t="str">
        <f t="shared" ca="1" si="2"/>
        <v>b</v>
      </c>
      <c r="E33" t="str">
        <f t="shared" ca="1" si="3"/>
        <v>23- 40- b52.711 N</v>
      </c>
      <c r="F33" t="str">
        <f t="shared" ca="1" si="4"/>
        <v>23- 40- b52.711 N</v>
      </c>
      <c r="H33" t="s">
        <v>2517</v>
      </c>
      <c r="I33" t="str">
        <f t="shared" ca="1" si="5"/>
        <v>90</v>
      </c>
      <c r="J33" t="str">
        <f t="shared" ca="1" si="6"/>
        <v>- 27- 10.786 E</v>
      </c>
      <c r="K33" t="str">
        <f t="shared" ca="1" si="7"/>
        <v>xxx</v>
      </c>
      <c r="L33" t="str">
        <f t="shared" ca="1" si="8"/>
        <v>90xxx- 27- 10.786 E</v>
      </c>
      <c r="M33" t="str">
        <f t="shared" ca="1" si="9"/>
        <v>90xxx- 27- 10.786 E</v>
      </c>
      <c r="N33">
        <f t="shared" ca="1" si="10"/>
        <v>23.681308611111113</v>
      </c>
      <c r="O33">
        <f t="shared" ca="1" si="11"/>
        <v>90.452996111111119</v>
      </c>
    </row>
    <row r="34" spans="1:15" x14ac:dyDescent="0.3">
      <c r="A34" t="s">
        <v>2024</v>
      </c>
      <c r="B34" t="str">
        <f t="shared" ca="1" si="0"/>
        <v>23- 40- 5</v>
      </c>
      <c r="C34" t="str">
        <f t="shared" ca="1" si="1"/>
        <v>3.290 N</v>
      </c>
      <c r="D34" t="str">
        <f t="shared" ca="1" si="2"/>
        <v>pppp</v>
      </c>
      <c r="E34" t="str">
        <f t="shared" ca="1" si="3"/>
        <v>23- 40- 5pppp3.290 N</v>
      </c>
      <c r="F34" t="str">
        <f t="shared" ca="1" si="4"/>
        <v>23- 40- 5pppp3.290 N</v>
      </c>
      <c r="H34" t="s">
        <v>2518</v>
      </c>
      <c r="I34" t="str">
        <f t="shared" ca="1" si="5"/>
        <v>90- 27- 4</v>
      </c>
      <c r="J34" t="str">
        <f t="shared" ca="1" si="6"/>
        <v>6.059 E</v>
      </c>
      <c r="K34" t="str">
        <f t="shared" ca="1" si="7"/>
        <v>JJJ</v>
      </c>
      <c r="L34" t="str">
        <f t="shared" ca="1" si="8"/>
        <v>90- 27- 4JJJ6.059 E</v>
      </c>
      <c r="M34" t="str">
        <f t="shared" ca="1" si="9"/>
        <v>90- 27- 4JJJ6.059 E</v>
      </c>
      <c r="N34">
        <f t="shared" ca="1" si="10"/>
        <v>23.681469444444446</v>
      </c>
      <c r="O34">
        <f t="shared" ca="1" si="11"/>
        <v>90.462794166666669</v>
      </c>
    </row>
    <row r="35" spans="1:15" x14ac:dyDescent="0.3">
      <c r="A35" t="s">
        <v>2025</v>
      </c>
      <c r="B35" t="str">
        <f t="shared" ca="1" si="0"/>
        <v>23- 40- 5</v>
      </c>
      <c r="C35" t="str">
        <f t="shared" ca="1" si="1"/>
        <v>3.867 N</v>
      </c>
      <c r="D35" t="str">
        <f t="shared" ca="1" si="2"/>
        <v>ZZZ</v>
      </c>
      <c r="E35" t="str">
        <f t="shared" ca="1" si="3"/>
        <v>23- 40- 5ZZZ3.867 N</v>
      </c>
      <c r="F35" t="str">
        <f t="shared" ca="1" si="4"/>
        <v>23- 40- 5ZZZ3.867 N</v>
      </c>
      <c r="H35" t="s">
        <v>2519</v>
      </c>
      <c r="I35" t="str">
        <f t="shared" ca="1" si="5"/>
        <v>9</v>
      </c>
      <c r="J35" t="str">
        <f t="shared" ca="1" si="6"/>
        <v>0- 28- 21.332 E</v>
      </c>
      <c r="K35" t="str">
        <f t="shared" ca="1" si="7"/>
        <v>yyy</v>
      </c>
      <c r="L35" t="str">
        <f t="shared" ca="1" si="8"/>
        <v>9yyy0- 28- 21.332 E</v>
      </c>
      <c r="M35" t="str">
        <f t="shared" ca="1" si="9"/>
        <v>9yyy0- 28- 21.332 E</v>
      </c>
      <c r="N35">
        <f t="shared" ca="1" si="10"/>
        <v>23.681629722222223</v>
      </c>
      <c r="O35">
        <f t="shared" ca="1" si="11"/>
        <v>90.472592222222218</v>
      </c>
    </row>
    <row r="36" spans="1:15" x14ac:dyDescent="0.3">
      <c r="A36" t="s">
        <v>2026</v>
      </c>
      <c r="B36" t="str">
        <f t="shared" ca="1" si="0"/>
        <v>23-</v>
      </c>
      <c r="C36" t="str">
        <f t="shared" ca="1" si="1"/>
        <v xml:space="preserve"> 40- 54.442 N</v>
      </c>
      <c r="D36" t="str">
        <f t="shared" ca="1" si="2"/>
        <v>\\\\</v>
      </c>
      <c r="E36" t="str">
        <f t="shared" ca="1" si="3"/>
        <v>23-\\\\ 40- 54.442 N</v>
      </c>
      <c r="F36" t="str">
        <f t="shared" ca="1" si="4"/>
        <v>23-\\\\ 40- 54.442 N</v>
      </c>
      <c r="H36" t="s">
        <v>2520</v>
      </c>
      <c r="I36" t="str">
        <f t="shared" ca="1" si="5"/>
        <v>90- 28- 56.606</v>
      </c>
      <c r="J36" t="str">
        <f t="shared" ca="1" si="6"/>
        <v xml:space="preserve"> E</v>
      </c>
      <c r="K36" t="str">
        <f t="shared" ca="1" si="7"/>
        <v>aa</v>
      </c>
      <c r="L36" t="str">
        <f t="shared" ca="1" si="8"/>
        <v>90- 28- 56.606aa E</v>
      </c>
      <c r="M36" t="str">
        <f t="shared" ca="1" si="9"/>
        <v>90- 28- 56.606aa E</v>
      </c>
      <c r="N36">
        <f t="shared" ca="1" si="10"/>
        <v>23.681789444444444</v>
      </c>
      <c r="O36">
        <f t="shared" ca="1" si="11"/>
        <v>90.482390555555554</v>
      </c>
    </row>
    <row r="37" spans="1:15" x14ac:dyDescent="0.3">
      <c r="A37" t="s">
        <v>2027</v>
      </c>
      <c r="B37" t="str">
        <f t="shared" ca="1" si="0"/>
        <v>2</v>
      </c>
      <c r="C37" t="str">
        <f t="shared" ca="1" si="1"/>
        <v>3- 40- 55.015 N</v>
      </c>
      <c r="D37" t="str">
        <f t="shared" ca="1" si="2"/>
        <v>UUUU</v>
      </c>
      <c r="E37" t="str">
        <f t="shared" ca="1" si="3"/>
        <v>2UUUU3- 40- 55.015 N</v>
      </c>
      <c r="F37" t="str">
        <f t="shared" ca="1" si="4"/>
        <v>2UUUU3- 40- 55.015 N</v>
      </c>
      <c r="H37" t="s">
        <v>2521</v>
      </c>
      <c r="I37" t="str">
        <f t="shared" ca="1" si="5"/>
        <v>90- 29- 31</v>
      </c>
      <c r="J37" t="str">
        <f t="shared" ca="1" si="6"/>
        <v>.880 E</v>
      </c>
      <c r="K37" t="str">
        <f t="shared" ca="1" si="7"/>
        <v>nnn</v>
      </c>
      <c r="L37" t="str">
        <f t="shared" ca="1" si="8"/>
        <v>90- 29- 31nnn.880 E</v>
      </c>
      <c r="M37" t="str">
        <f t="shared" ca="1" si="9"/>
        <v>90- 29- 31nnn.880 E</v>
      </c>
      <c r="N37">
        <f t="shared" ca="1" si="10"/>
        <v>23.681948611111114</v>
      </c>
      <c r="O37">
        <f t="shared" ca="1" si="11"/>
        <v>90.49218888888889</v>
      </c>
    </row>
    <row r="38" spans="1:15" x14ac:dyDescent="0.3">
      <c r="A38" t="s">
        <v>2028</v>
      </c>
      <c r="B38" t="str">
        <f t="shared" ca="1" si="0"/>
        <v>23- 40- 55.585 N</v>
      </c>
      <c r="C38" t="str">
        <f t="shared" ca="1" si="1"/>
        <v/>
      </c>
      <c r="D38" t="str">
        <f t="shared" ca="1" si="2"/>
        <v>LL</v>
      </c>
      <c r="E38" t="str">
        <f t="shared" ca="1" si="3"/>
        <v>23- 40- 55.585 NLL</v>
      </c>
      <c r="F38" t="str">
        <f t="shared" ca="1" si="4"/>
        <v>23- 40- 55.585 NLL</v>
      </c>
      <c r="H38" t="s">
        <v>2522</v>
      </c>
      <c r="I38" t="str">
        <f t="shared" ca="1" si="5"/>
        <v>90-</v>
      </c>
      <c r="J38" t="str">
        <f t="shared" ca="1" si="6"/>
        <v xml:space="preserve"> 30- 7.154 E</v>
      </c>
      <c r="K38" t="str">
        <f t="shared" ca="1" si="7"/>
        <v>H</v>
      </c>
      <c r="L38" t="str">
        <f t="shared" ca="1" si="8"/>
        <v>90-H 30- 7.154 E</v>
      </c>
      <c r="M38" t="str">
        <f t="shared" ca="1" si="9"/>
        <v>90-H 30- 7.154 E</v>
      </c>
      <c r="N38">
        <f t="shared" ca="1" si="10"/>
        <v>23.682106944444445</v>
      </c>
      <c r="O38">
        <f t="shared" ca="1" si="11"/>
        <v>90.501987222222226</v>
      </c>
    </row>
    <row r="39" spans="1:15" x14ac:dyDescent="0.3">
      <c r="A39" t="s">
        <v>2029</v>
      </c>
      <c r="B39" t="str">
        <f t="shared" ca="1" si="0"/>
        <v>23- 4</v>
      </c>
      <c r="C39" t="str">
        <f t="shared" ca="1" si="1"/>
        <v>0- 56.153 N</v>
      </c>
      <c r="D39" t="str">
        <f t="shared" ca="1" si="2"/>
        <v>\\</v>
      </c>
      <c r="E39" t="str">
        <f t="shared" ca="1" si="3"/>
        <v>23- 4\\0- 56.153 N</v>
      </c>
      <c r="F39" t="str">
        <f t="shared" ca="1" si="4"/>
        <v>23- 4\\0- 56.153 N</v>
      </c>
      <c r="H39" t="s">
        <v>2523</v>
      </c>
      <c r="I39" t="str">
        <f t="shared" ca="1" si="5"/>
        <v>90- 30- 42.429 E</v>
      </c>
      <c r="J39" t="str">
        <f t="shared" ca="1" si="6"/>
        <v/>
      </c>
      <c r="K39" t="str">
        <f t="shared" ca="1" si="7"/>
        <v>III</v>
      </c>
      <c r="L39" t="str">
        <f t="shared" ca="1" si="8"/>
        <v>90- 30- 42.429 EIII</v>
      </c>
      <c r="M39" t="str">
        <f t="shared" ca="1" si="9"/>
        <v>90- 30- 42.429 EIII</v>
      </c>
      <c r="N39">
        <f t="shared" ca="1" si="10"/>
        <v>23.682264722222225</v>
      </c>
      <c r="O39">
        <f t="shared" ca="1" si="11"/>
        <v>90.511785833333334</v>
      </c>
    </row>
    <row r="40" spans="1:15" x14ac:dyDescent="0.3">
      <c r="A40" t="s">
        <v>2030</v>
      </c>
      <c r="B40" t="str">
        <f t="shared" ca="1" si="0"/>
        <v>23- 41- 18.0</v>
      </c>
      <c r="C40" t="str">
        <f t="shared" ca="1" si="1"/>
        <v>68 N</v>
      </c>
      <c r="D40" t="str">
        <f t="shared" ca="1" si="2"/>
        <v>j</v>
      </c>
      <c r="E40" t="str">
        <f t="shared" ca="1" si="3"/>
        <v>23- 41- 18.0j68 N</v>
      </c>
      <c r="F40" t="str">
        <f t="shared" ca="1" si="4"/>
        <v>23- 41- 18.0j68 N</v>
      </c>
      <c r="H40" t="s">
        <v>2524</v>
      </c>
      <c r="I40" t="str">
        <f t="shared" ca="1" si="5"/>
        <v>90- 20- 6</v>
      </c>
      <c r="J40" t="str">
        <f t="shared" ca="1" si="6"/>
        <v>.874 E</v>
      </c>
      <c r="K40" t="str">
        <f t="shared" ca="1" si="7"/>
        <v>}</v>
      </c>
      <c r="L40" t="str">
        <f t="shared" ca="1" si="8"/>
        <v>90- 20- 6}.874 E</v>
      </c>
      <c r="M40" t="str">
        <f t="shared" ca="1" si="9"/>
        <v>90- 20- 6}.874 E</v>
      </c>
      <c r="N40">
        <f t="shared" ca="1" si="10"/>
        <v>23.688352222222221</v>
      </c>
      <c r="O40">
        <f t="shared" ca="1" si="11"/>
        <v>90.335242777777779</v>
      </c>
    </row>
    <row r="41" spans="1:15" x14ac:dyDescent="0.3">
      <c r="A41" t="s">
        <v>2031</v>
      </c>
      <c r="B41" t="str">
        <f t="shared" ca="1" si="0"/>
        <v>23- 41- 18.674</v>
      </c>
      <c r="C41" t="str">
        <f t="shared" ca="1" si="1"/>
        <v xml:space="preserve"> N</v>
      </c>
      <c r="D41" t="str">
        <f t="shared" ca="1" si="2"/>
        <v>a</v>
      </c>
      <c r="E41" t="str">
        <f t="shared" ca="1" si="3"/>
        <v>23- 41- 18.674a N</v>
      </c>
      <c r="F41" t="str">
        <f t="shared" ca="1" si="4"/>
        <v>23- 41- 18.674a N</v>
      </c>
      <c r="H41" t="s">
        <v>2525</v>
      </c>
      <c r="I41" t="str">
        <f t="shared" ca="1" si="5"/>
        <v xml:space="preserve">90- 20- </v>
      </c>
      <c r="J41" t="str">
        <f t="shared" ca="1" si="6"/>
        <v>42.146 E</v>
      </c>
      <c r="K41" t="str">
        <f t="shared" ca="1" si="7"/>
        <v>aaaa</v>
      </c>
      <c r="L41" t="str">
        <f t="shared" ca="1" si="8"/>
        <v>90- 20- aaaa42.146 E</v>
      </c>
      <c r="M41" t="str">
        <f t="shared" ca="1" si="9"/>
        <v>90- 20- aaaa42.146 E</v>
      </c>
      <c r="N41">
        <f t="shared" ca="1" si="10"/>
        <v>23.688520555555556</v>
      </c>
      <c r="O41">
        <f t="shared" ca="1" si="11"/>
        <v>90.345040555555556</v>
      </c>
    </row>
    <row r="42" spans="1:15" x14ac:dyDescent="0.3">
      <c r="A42" t="s">
        <v>2032</v>
      </c>
      <c r="B42" t="str">
        <f t="shared" ca="1" si="0"/>
        <v xml:space="preserve">23- 41- 19.278 </v>
      </c>
      <c r="C42" t="str">
        <f t="shared" ca="1" si="1"/>
        <v>N</v>
      </c>
      <c r="D42" t="str">
        <f t="shared" ca="1" si="2"/>
        <v>T</v>
      </c>
      <c r="E42" t="str">
        <f t="shared" ca="1" si="3"/>
        <v>23- 41- 19.278 TN</v>
      </c>
      <c r="F42" t="str">
        <f t="shared" ca="1" si="4"/>
        <v>23- 41- 19.278 TN</v>
      </c>
      <c r="H42" t="s">
        <v>2526</v>
      </c>
      <c r="I42" t="str">
        <f t="shared" ca="1" si="5"/>
        <v>90- 2</v>
      </c>
      <c r="J42" t="str">
        <f t="shared" ca="1" si="6"/>
        <v>1- 17.418 E</v>
      </c>
      <c r="K42" t="str">
        <f t="shared" ca="1" si="7"/>
        <v>NNNN</v>
      </c>
      <c r="L42" t="str">
        <f t="shared" ca="1" si="8"/>
        <v>90- 2NNNN1- 17.418 E</v>
      </c>
      <c r="M42" t="str">
        <f t="shared" ca="1" si="9"/>
        <v>90- 2NNNN1- 17.418 E</v>
      </c>
      <c r="N42">
        <f t="shared" ca="1" si="10"/>
        <v>23.688688333333335</v>
      </c>
      <c r="O42">
        <f t="shared" ca="1" si="11"/>
        <v>90.354838333333333</v>
      </c>
    </row>
    <row r="43" spans="1:15" x14ac:dyDescent="0.3">
      <c r="A43" t="s">
        <v>2033</v>
      </c>
      <c r="B43" t="str">
        <f t="shared" ca="1" si="0"/>
        <v>23- 41</v>
      </c>
      <c r="C43" t="str">
        <f t="shared" ca="1" si="1"/>
        <v>- 19.880 N</v>
      </c>
      <c r="D43" t="str">
        <f t="shared" ca="1" si="2"/>
        <v>yyy</v>
      </c>
      <c r="E43" t="str">
        <f t="shared" ca="1" si="3"/>
        <v>23- 41yyy- 19.880 N</v>
      </c>
      <c r="F43" t="str">
        <f t="shared" ca="1" si="4"/>
        <v>23- 41yyy- 19.880 N</v>
      </c>
      <c r="H43" t="s">
        <v>2527</v>
      </c>
      <c r="I43" t="str">
        <f t="shared" ca="1" si="5"/>
        <v xml:space="preserve">90- 21- 52.690 </v>
      </c>
      <c r="J43" t="str">
        <f t="shared" ca="1" si="6"/>
        <v>E</v>
      </c>
      <c r="K43" t="str">
        <f t="shared" ca="1" si="7"/>
        <v>[[[[[</v>
      </c>
      <c r="L43" t="str">
        <f t="shared" ca="1" si="8"/>
        <v>90- 21- 52.690 [[[[[E</v>
      </c>
      <c r="M43" t="str">
        <f t="shared" ca="1" si="9"/>
        <v>90- 21- 52.690 [[[[[E</v>
      </c>
      <c r="N43">
        <f t="shared" ca="1" si="10"/>
        <v>23.688855555555556</v>
      </c>
      <c r="O43">
        <f t="shared" ca="1" si="11"/>
        <v>90.36463611111111</v>
      </c>
    </row>
    <row r="44" spans="1:15" x14ac:dyDescent="0.3">
      <c r="A44" t="s">
        <v>2034</v>
      </c>
      <c r="B44" t="str">
        <f t="shared" ca="1" si="0"/>
        <v>23- 41- 20.4</v>
      </c>
      <c r="C44" t="str">
        <f t="shared" ca="1" si="1"/>
        <v>80 N</v>
      </c>
      <c r="D44" t="str">
        <f t="shared" ca="1" si="2"/>
        <v>m</v>
      </c>
      <c r="E44" t="str">
        <f t="shared" ca="1" si="3"/>
        <v>23- 41- 20.4m80 N</v>
      </c>
      <c r="F44" t="str">
        <f t="shared" ca="1" si="4"/>
        <v>23- 41- 20.4m80 N</v>
      </c>
      <c r="H44" t="s">
        <v>2528</v>
      </c>
      <c r="I44" t="str">
        <f t="shared" ca="1" si="5"/>
        <v>90</v>
      </c>
      <c r="J44" t="str">
        <f t="shared" ca="1" si="6"/>
        <v>- 22- 27.963 E</v>
      </c>
      <c r="K44" t="str">
        <f t="shared" ca="1" si="7"/>
        <v>bbbbb</v>
      </c>
      <c r="L44" t="str">
        <f t="shared" ca="1" si="8"/>
        <v>90bbbbb- 22- 27.963 E</v>
      </c>
      <c r="M44" t="str">
        <f t="shared" ca="1" si="9"/>
        <v>90bbbbb- 22- 27.963 E</v>
      </c>
      <c r="N44">
        <f t="shared" ca="1" si="10"/>
        <v>23.689022222222224</v>
      </c>
      <c r="O44">
        <f t="shared" ca="1" si="11"/>
        <v>90.37443416666666</v>
      </c>
    </row>
    <row r="45" spans="1:15" x14ac:dyDescent="0.3">
      <c r="A45" t="s">
        <v>2035</v>
      </c>
      <c r="B45" t="str">
        <f t="shared" ca="1" si="0"/>
        <v xml:space="preserve">23- 41- </v>
      </c>
      <c r="C45" t="str">
        <f t="shared" ca="1" si="1"/>
        <v>21.077 N</v>
      </c>
      <c r="D45" t="str">
        <f t="shared" ca="1" si="2"/>
        <v>|||||</v>
      </c>
      <c r="E45" t="str">
        <f t="shared" ca="1" si="3"/>
        <v>23- 41- |||||21.077 N</v>
      </c>
      <c r="F45" t="str">
        <f t="shared" ca="1" si="4"/>
        <v>23- 41- |||||21.077 N</v>
      </c>
      <c r="H45" t="s">
        <v>2529</v>
      </c>
      <c r="I45" t="str">
        <f t="shared" ca="1" si="5"/>
        <v>90- 23- 3.235</v>
      </c>
      <c r="J45" t="str">
        <f t="shared" ca="1" si="6"/>
        <v xml:space="preserve"> E</v>
      </c>
      <c r="K45" t="str">
        <f t="shared" ca="1" si="7"/>
        <v>[[[</v>
      </c>
      <c r="L45" t="str">
        <f t="shared" ca="1" si="8"/>
        <v>90- 23- 3.235[[[ E</v>
      </c>
      <c r="M45" t="str">
        <f t="shared" ca="1" si="9"/>
        <v>90- 23- 3.235[[[ E</v>
      </c>
      <c r="N45">
        <f t="shared" ca="1" si="10"/>
        <v>23.689188055555555</v>
      </c>
      <c r="O45">
        <f t="shared" ca="1" si="11"/>
        <v>90.384231944444451</v>
      </c>
    </row>
    <row r="46" spans="1:15" x14ac:dyDescent="0.3">
      <c r="A46" t="s">
        <v>2036</v>
      </c>
      <c r="B46" t="str">
        <f t="shared" ca="1" si="0"/>
        <v>2</v>
      </c>
      <c r="C46" t="str">
        <f t="shared" ca="1" si="1"/>
        <v>3- 41- 1.67 N</v>
      </c>
      <c r="D46" t="str">
        <f t="shared" ca="1" si="2"/>
        <v>PPP</v>
      </c>
      <c r="E46" t="str">
        <f t="shared" ca="1" si="3"/>
        <v>2PPP3- 41- 1.67 N</v>
      </c>
      <c r="F46" t="str">
        <f t="shared" ca="1" si="4"/>
        <v>2PPP3- 41- 1.67 N</v>
      </c>
      <c r="H46" t="s">
        <v>2530</v>
      </c>
      <c r="I46" t="str">
        <f t="shared" ca="1" si="5"/>
        <v>90- 23- 38.509 E</v>
      </c>
      <c r="J46" t="str">
        <f t="shared" ca="1" si="6"/>
        <v/>
      </c>
      <c r="K46" t="str">
        <f t="shared" ca="1" si="7"/>
        <v>nn</v>
      </c>
      <c r="L46" t="str">
        <f t="shared" ca="1" si="8"/>
        <v>90- 23- 38.509 Enn</v>
      </c>
      <c r="M46" t="str">
        <f t="shared" ca="1" si="9"/>
        <v>90- 23- 38.509 Enn</v>
      </c>
      <c r="N46">
        <f t="shared" ca="1" si="10"/>
        <v>23.683797222222221</v>
      </c>
      <c r="O46">
        <f t="shared" ca="1" si="11"/>
        <v>90.394030277777787</v>
      </c>
    </row>
    <row r="47" spans="1:15" x14ac:dyDescent="0.3">
      <c r="A47" t="s">
        <v>2037</v>
      </c>
      <c r="B47" t="str">
        <f t="shared" ca="1" si="0"/>
        <v>23- 41- 2</v>
      </c>
      <c r="C47" t="str">
        <f t="shared" ca="1" si="1"/>
        <v>2.265 N</v>
      </c>
      <c r="D47" t="str">
        <f t="shared" ca="1" si="2"/>
        <v>R</v>
      </c>
      <c r="E47" t="str">
        <f t="shared" ca="1" si="3"/>
        <v>23- 41- 2R2.265 N</v>
      </c>
      <c r="F47" t="str">
        <f t="shared" ca="1" si="4"/>
        <v>23- 41- 2R2.265 N</v>
      </c>
      <c r="H47" t="s">
        <v>2531</v>
      </c>
      <c r="I47" t="str">
        <f t="shared" ca="1" si="5"/>
        <v>90- 24- 13.</v>
      </c>
      <c r="J47" t="str">
        <f t="shared" ca="1" si="6"/>
        <v>782 E</v>
      </c>
      <c r="K47" t="str">
        <f t="shared" ca="1" si="7"/>
        <v>}}}}}</v>
      </c>
      <c r="L47" t="str">
        <f t="shared" ca="1" si="8"/>
        <v>90- 24- 13.}}}}}782 E</v>
      </c>
      <c r="M47" t="str">
        <f t="shared" ca="1" si="9"/>
        <v>90- 24- 13.}}}}}782 E</v>
      </c>
      <c r="N47">
        <f t="shared" ca="1" si="10"/>
        <v>23.689518055555556</v>
      </c>
      <c r="O47">
        <f t="shared" ca="1" si="11"/>
        <v>90.403828333333337</v>
      </c>
    </row>
    <row r="48" spans="1:15" x14ac:dyDescent="0.3">
      <c r="A48" t="s">
        <v>2038</v>
      </c>
      <c r="B48" t="str">
        <f t="shared" ca="1" si="0"/>
        <v>23- 41-</v>
      </c>
      <c r="C48" t="str">
        <f t="shared" ca="1" si="1"/>
        <v xml:space="preserve"> 22.856 N</v>
      </c>
      <c r="D48" t="str">
        <f t="shared" ca="1" si="2"/>
        <v>{{{</v>
      </c>
      <c r="E48" t="str">
        <f t="shared" ca="1" si="3"/>
        <v>23- 41-{{{ 22.856 N</v>
      </c>
      <c r="F48" t="str">
        <f t="shared" ca="1" si="4"/>
        <v>23- 41-{{{ 22.856 N</v>
      </c>
      <c r="H48" t="s">
        <v>2532</v>
      </c>
      <c r="I48" t="str">
        <f t="shared" ca="1" si="5"/>
        <v xml:space="preserve">90- 24- </v>
      </c>
      <c r="J48" t="str">
        <f t="shared" ca="1" si="6"/>
        <v>49.056 E</v>
      </c>
      <c r="K48" t="str">
        <f t="shared" ca="1" si="7"/>
        <v>AAAAA</v>
      </c>
      <c r="L48" t="str">
        <f t="shared" ca="1" si="8"/>
        <v>90- 24- AAAAA49.056 E</v>
      </c>
      <c r="M48" t="str">
        <f t="shared" ca="1" si="9"/>
        <v>90- 24- AAAAA49.056 E</v>
      </c>
      <c r="N48">
        <f t="shared" ca="1" si="10"/>
        <v>23.689682222222224</v>
      </c>
      <c r="O48">
        <f t="shared" ca="1" si="11"/>
        <v>90.413626666666673</v>
      </c>
    </row>
    <row r="49" spans="1:15" x14ac:dyDescent="0.3">
      <c r="A49" t="s">
        <v>2039</v>
      </c>
      <c r="B49" t="str">
        <f t="shared" ca="1" si="0"/>
        <v>23- 41</v>
      </c>
      <c r="C49" t="str">
        <f t="shared" ca="1" si="1"/>
        <v>- 23.444 N</v>
      </c>
      <c r="D49" t="str">
        <f t="shared" ca="1" si="2"/>
        <v>VVV</v>
      </c>
      <c r="E49" t="str">
        <f t="shared" ca="1" si="3"/>
        <v>23- 41VVV- 23.444 N</v>
      </c>
      <c r="F49" t="str">
        <f t="shared" ca="1" si="4"/>
        <v>23- 41VVV- 23.444 N</v>
      </c>
      <c r="H49" t="s">
        <v>2533</v>
      </c>
      <c r="I49" t="str">
        <f t="shared" ca="1" si="5"/>
        <v>90- 25- 24.33</v>
      </c>
      <c r="J49" t="str">
        <f t="shared" ca="1" si="6"/>
        <v>1 E</v>
      </c>
      <c r="K49" t="str">
        <f t="shared" ca="1" si="7"/>
        <v>tttt</v>
      </c>
      <c r="L49" t="str">
        <f t="shared" ca="1" si="8"/>
        <v>90- 25- 24.33tttt1 E</v>
      </c>
      <c r="M49" t="str">
        <f t="shared" ca="1" si="9"/>
        <v>90- 25- 24.33tttt1 E</v>
      </c>
      <c r="N49">
        <f t="shared" ca="1" si="10"/>
        <v>23.689845555555557</v>
      </c>
      <c r="O49">
        <f t="shared" ca="1" si="11"/>
        <v>90.423425277777781</v>
      </c>
    </row>
    <row r="50" spans="1:15" x14ac:dyDescent="0.3">
      <c r="A50" t="s">
        <v>2040</v>
      </c>
      <c r="B50" t="str">
        <f t="shared" ca="1" si="0"/>
        <v>23- 41- 2</v>
      </c>
      <c r="C50" t="str">
        <f t="shared" ca="1" si="1"/>
        <v>4.031 N</v>
      </c>
      <c r="D50" t="str">
        <f t="shared" ca="1" si="2"/>
        <v>nnnn</v>
      </c>
      <c r="E50" t="str">
        <f t="shared" ca="1" si="3"/>
        <v>23- 41- 2nnnn4.031 N</v>
      </c>
      <c r="F50" t="str">
        <f t="shared" ca="1" si="4"/>
        <v>23- 41- 2nnnn4.031 N</v>
      </c>
      <c r="H50" t="s">
        <v>2534</v>
      </c>
      <c r="I50" t="str">
        <f t="shared" ca="1" si="5"/>
        <v>90- 25- 59.605 E</v>
      </c>
      <c r="J50" t="str">
        <f t="shared" ca="1" si="6"/>
        <v/>
      </c>
      <c r="K50" t="str">
        <f t="shared" ca="1" si="7"/>
        <v>~~~~~</v>
      </c>
      <c r="L50" t="str">
        <f t="shared" ca="1" si="8"/>
        <v>90- 25- 59.605 E~~~~~</v>
      </c>
      <c r="M50" t="str">
        <f t="shared" ca="1" si="9"/>
        <v>90- 25- 59.605 E~~~~~</v>
      </c>
      <c r="N50">
        <f t="shared" ca="1" si="10"/>
        <v>23.690008611111111</v>
      </c>
      <c r="O50">
        <f t="shared" ca="1" si="11"/>
        <v>90.433223611111117</v>
      </c>
    </row>
    <row r="51" spans="1:15" x14ac:dyDescent="0.3">
      <c r="A51" t="s">
        <v>2041</v>
      </c>
      <c r="B51" t="str">
        <f t="shared" ca="1" si="0"/>
        <v>23- 41-</v>
      </c>
      <c r="C51" t="str">
        <f t="shared" ca="1" si="1"/>
        <v xml:space="preserve"> 24.615 N</v>
      </c>
      <c r="D51" t="str">
        <f t="shared" ca="1" si="2"/>
        <v>j</v>
      </c>
      <c r="E51" t="str">
        <f t="shared" ca="1" si="3"/>
        <v>23- 41-j 24.615 N</v>
      </c>
      <c r="F51" t="str">
        <f t="shared" ca="1" si="4"/>
        <v>23- 41-j 24.615 N</v>
      </c>
      <c r="H51" t="s">
        <v>2535</v>
      </c>
      <c r="I51" t="str">
        <f t="shared" ca="1" si="5"/>
        <v>90- 2</v>
      </c>
      <c r="J51" t="str">
        <f t="shared" ca="1" si="6"/>
        <v>6- 34.880 E</v>
      </c>
      <c r="K51" t="str">
        <f t="shared" ca="1" si="7"/>
        <v>ZZZZZ</v>
      </c>
      <c r="L51" t="str">
        <f t="shared" ca="1" si="8"/>
        <v>90- 2ZZZZZ6- 34.880 E</v>
      </c>
      <c r="M51" t="str">
        <f t="shared" ca="1" si="9"/>
        <v>90- 2ZZZZZ6- 34.880 E</v>
      </c>
      <c r="N51">
        <f t="shared" ca="1" si="10"/>
        <v>23.690170833333333</v>
      </c>
      <c r="O51">
        <f t="shared" ca="1" si="11"/>
        <v>90.443022222222226</v>
      </c>
    </row>
    <row r="52" spans="1:15" x14ac:dyDescent="0.3">
      <c r="A52" t="s">
        <v>2042</v>
      </c>
      <c r="B52" t="str">
        <f t="shared" ca="1" si="0"/>
        <v>2</v>
      </c>
      <c r="C52" t="str">
        <f t="shared" ca="1" si="1"/>
        <v>3- 41- 5.196 N</v>
      </c>
      <c r="D52" t="str">
        <f t="shared" ca="1" si="2"/>
        <v>cc</v>
      </c>
      <c r="E52" t="str">
        <f t="shared" ca="1" si="3"/>
        <v>2cc3- 41- 5.196 N</v>
      </c>
      <c r="F52" t="str">
        <f t="shared" ca="1" si="4"/>
        <v>2cc3- 41- 5.196 N</v>
      </c>
      <c r="H52" t="s">
        <v>2536</v>
      </c>
      <c r="I52" t="str">
        <f t="shared" ca="1" si="5"/>
        <v>90- 27- 10.155</v>
      </c>
      <c r="J52" t="str">
        <f t="shared" ca="1" si="6"/>
        <v xml:space="preserve"> E</v>
      </c>
      <c r="K52" t="str">
        <f t="shared" ca="1" si="7"/>
        <v>wwww</v>
      </c>
      <c r="L52" t="str">
        <f t="shared" ca="1" si="8"/>
        <v>90- 27- 10.155wwww E</v>
      </c>
      <c r="M52" t="str">
        <f t="shared" ca="1" si="9"/>
        <v>90- 27- 10.155wwww E</v>
      </c>
      <c r="N52">
        <f t="shared" ca="1" si="10"/>
        <v>23.684776666666668</v>
      </c>
      <c r="O52">
        <f t="shared" ca="1" si="11"/>
        <v>90.452820833333334</v>
      </c>
    </row>
    <row r="53" spans="1:15" x14ac:dyDescent="0.3">
      <c r="A53" t="s">
        <v>2043</v>
      </c>
      <c r="B53" t="str">
        <f t="shared" ca="1" si="0"/>
        <v xml:space="preserve">23- </v>
      </c>
      <c r="C53" t="str">
        <f t="shared" ca="1" si="1"/>
        <v>41- 25.776 N</v>
      </c>
      <c r="D53" t="str">
        <f t="shared" ca="1" si="2"/>
        <v>i</v>
      </c>
      <c r="E53" t="str">
        <f t="shared" ca="1" si="3"/>
        <v>23- i41- 25.776 N</v>
      </c>
      <c r="F53" t="str">
        <f t="shared" ca="1" si="4"/>
        <v>23- i41- 25.776 N</v>
      </c>
      <c r="H53" t="s">
        <v>2537</v>
      </c>
      <c r="I53" t="str">
        <f t="shared" ca="1" si="5"/>
        <v>90- 27- 45.</v>
      </c>
      <c r="J53" t="str">
        <f t="shared" ca="1" si="6"/>
        <v>431 E</v>
      </c>
      <c r="K53" t="str">
        <f t="shared" ca="1" si="7"/>
        <v>mmmmm</v>
      </c>
      <c r="L53" t="str">
        <f t="shared" ca="1" si="8"/>
        <v>90- 27- 45.mmmmm431 E</v>
      </c>
      <c r="M53" t="str">
        <f t="shared" ca="1" si="9"/>
        <v>90- 27- 45.mmmmm431 E</v>
      </c>
      <c r="N53">
        <f t="shared" ca="1" si="10"/>
        <v>23.690493333333333</v>
      </c>
      <c r="O53">
        <f t="shared" ca="1" si="11"/>
        <v>90.462619722222229</v>
      </c>
    </row>
    <row r="54" spans="1:15" x14ac:dyDescent="0.3">
      <c r="A54" t="s">
        <v>2044</v>
      </c>
      <c r="B54" t="str">
        <f t="shared" ca="1" si="0"/>
        <v>2</v>
      </c>
      <c r="C54" t="str">
        <f t="shared" ca="1" si="1"/>
        <v>3- 41- 6.353 N</v>
      </c>
      <c r="D54" t="str">
        <f t="shared" ca="1" si="2"/>
        <v>vvvvv</v>
      </c>
      <c r="E54" t="str">
        <f t="shared" ca="1" si="3"/>
        <v>2vvvvv3- 41- 6.353 N</v>
      </c>
      <c r="F54" t="str">
        <f t="shared" ca="1" si="4"/>
        <v>2vvvvv3- 41- 6.353 N</v>
      </c>
      <c r="H54" t="s">
        <v>2538</v>
      </c>
      <c r="I54" t="str">
        <f t="shared" ca="1" si="5"/>
        <v>90- 2</v>
      </c>
      <c r="J54" t="str">
        <f t="shared" ca="1" si="6"/>
        <v>8- 20.706 E</v>
      </c>
      <c r="K54" t="str">
        <f t="shared" ca="1" si="7"/>
        <v>UUU</v>
      </c>
      <c r="L54" t="str">
        <f t="shared" ca="1" si="8"/>
        <v>90- 2UUU8- 20.706 E</v>
      </c>
      <c r="M54" t="str">
        <f t="shared" ca="1" si="9"/>
        <v>90- 2UUU8- 20.706 E</v>
      </c>
      <c r="N54">
        <f t="shared" ca="1" si="10"/>
        <v>23.685098055555557</v>
      </c>
      <c r="O54">
        <f t="shared" ca="1" si="11"/>
        <v>90.472418333333337</v>
      </c>
    </row>
    <row r="55" spans="1:15" x14ac:dyDescent="0.3">
      <c r="A55" t="s">
        <v>2045</v>
      </c>
      <c r="B55" t="str">
        <f t="shared" ca="1" si="0"/>
        <v>23- 41- 26.928</v>
      </c>
      <c r="C55" t="str">
        <f t="shared" ca="1" si="1"/>
        <v xml:space="preserve"> N</v>
      </c>
      <c r="D55" t="str">
        <f t="shared" ca="1" si="2"/>
        <v>hhh</v>
      </c>
      <c r="E55" t="str">
        <f t="shared" ca="1" si="3"/>
        <v>23- 41- 26.928hhh N</v>
      </c>
      <c r="F55" t="str">
        <f t="shared" ca="1" si="4"/>
        <v>23- 41- 26.928hhh N</v>
      </c>
      <c r="H55" t="s">
        <v>2539</v>
      </c>
      <c r="I55" t="str">
        <f t="shared" ca="1" si="5"/>
        <v>90- 28- 55.9</v>
      </c>
      <c r="J55" t="str">
        <f t="shared" ca="1" si="6"/>
        <v>83 E</v>
      </c>
      <c r="K55" t="str">
        <f t="shared" ca="1" si="7"/>
        <v>MMMMM</v>
      </c>
      <c r="L55" t="str">
        <f t="shared" ca="1" si="8"/>
        <v>90- 28- 55.9MMMMM83 E</v>
      </c>
      <c r="M55" t="str">
        <f t="shared" ca="1" si="9"/>
        <v>90- 28- 55.9MMMMM83 E</v>
      </c>
      <c r="N55">
        <f t="shared" ca="1" si="10"/>
        <v>23.690813333333335</v>
      </c>
      <c r="O55">
        <f t="shared" ca="1" si="11"/>
        <v>90.482217500000004</v>
      </c>
    </row>
    <row r="56" spans="1:15" x14ac:dyDescent="0.3">
      <c r="A56" t="s">
        <v>2046</v>
      </c>
      <c r="B56" t="str">
        <f t="shared" ca="1" si="0"/>
        <v>23- 41- 27.501 N</v>
      </c>
      <c r="C56" t="str">
        <f t="shared" ca="1" si="1"/>
        <v/>
      </c>
      <c r="D56" t="str">
        <f t="shared" ca="1" si="2"/>
        <v>XXXXX</v>
      </c>
      <c r="E56" t="str">
        <f t="shared" ca="1" si="3"/>
        <v>23- 41- 27.501 NXXXXX</v>
      </c>
      <c r="F56" t="str">
        <f t="shared" ca="1" si="4"/>
        <v>23- 41- 27.501 NXXXXX</v>
      </c>
      <c r="H56" t="s">
        <v>2540</v>
      </c>
      <c r="I56" t="str">
        <f t="shared" ca="1" si="5"/>
        <v>90- 29- 31.25</v>
      </c>
      <c r="J56" t="str">
        <f t="shared" ca="1" si="6"/>
        <v>9 E</v>
      </c>
      <c r="K56" t="str">
        <f t="shared" ca="1" si="7"/>
        <v>ss</v>
      </c>
      <c r="L56" t="str">
        <f t="shared" ca="1" si="8"/>
        <v>90- 29- 31.25ss9 E</v>
      </c>
      <c r="M56" t="str">
        <f t="shared" ca="1" si="9"/>
        <v>90- 29- 31.25ss9 E</v>
      </c>
      <c r="N56">
        <f t="shared" ca="1" si="10"/>
        <v>23.690972500000001</v>
      </c>
      <c r="O56">
        <f t="shared" ca="1" si="11"/>
        <v>90.492016388888885</v>
      </c>
    </row>
    <row r="57" spans="1:15" x14ac:dyDescent="0.3">
      <c r="A57" t="s">
        <v>2047</v>
      </c>
      <c r="B57" t="str">
        <f t="shared" ca="1" si="0"/>
        <v>23-</v>
      </c>
      <c r="C57" t="str">
        <f t="shared" ca="1" si="1"/>
        <v xml:space="preserve"> 41- 28.072 N</v>
      </c>
      <c r="D57" t="str">
        <f t="shared" ca="1" si="2"/>
        <v>Z</v>
      </c>
      <c r="E57" t="str">
        <f t="shared" ca="1" si="3"/>
        <v>23-Z 41- 28.072 N</v>
      </c>
      <c r="F57" t="str">
        <f t="shared" ca="1" si="4"/>
        <v>23-Z 41- 28.072 N</v>
      </c>
      <c r="H57" t="s">
        <v>2541</v>
      </c>
      <c r="I57" t="str">
        <f t="shared" ca="1" si="5"/>
        <v>90- 30- 6.536 E</v>
      </c>
      <c r="J57" t="str">
        <f t="shared" ca="1" si="6"/>
        <v/>
      </c>
      <c r="K57" t="str">
        <f t="shared" ca="1" si="7"/>
        <v>VVVV</v>
      </c>
      <c r="L57" t="str">
        <f t="shared" ca="1" si="8"/>
        <v>90- 30- 6.536 EVVVV</v>
      </c>
      <c r="M57" t="str">
        <f t="shared" ca="1" si="9"/>
        <v>90- 30- 6.536 EVVVV</v>
      </c>
      <c r="N57">
        <f t="shared" ca="1" si="10"/>
        <v>23.691131111111112</v>
      </c>
      <c r="O57">
        <f t="shared" ca="1" si="11"/>
        <v>90.501815555555552</v>
      </c>
    </row>
    <row r="58" spans="1:15" x14ac:dyDescent="0.3">
      <c r="A58" t="s">
        <v>2048</v>
      </c>
      <c r="B58" t="str">
        <f t="shared" ca="1" si="0"/>
        <v>23- 41- 2</v>
      </c>
      <c r="C58" t="str">
        <f t="shared" ca="1" si="1"/>
        <v>8.640 N</v>
      </c>
      <c r="D58" t="str">
        <f t="shared" ca="1" si="2"/>
        <v>aaaaa</v>
      </c>
      <c r="E58" t="str">
        <f t="shared" ca="1" si="3"/>
        <v>23- 41- 2aaaaa8.640 N</v>
      </c>
      <c r="F58" t="str">
        <f t="shared" ca="1" si="4"/>
        <v>23- 41- 2aaaaa8.640 N</v>
      </c>
      <c r="H58" t="s">
        <v>2542</v>
      </c>
      <c r="I58" t="str">
        <f t="shared" ca="1" si="5"/>
        <v>90- 30- 4</v>
      </c>
      <c r="J58" t="str">
        <f t="shared" ca="1" si="6"/>
        <v>1.813 E</v>
      </c>
      <c r="K58" t="str">
        <f t="shared" ca="1" si="7"/>
        <v>GGGGG</v>
      </c>
      <c r="L58" t="str">
        <f t="shared" ca="1" si="8"/>
        <v>90- 30- 4GGGGG1.813 E</v>
      </c>
      <c r="M58" t="str">
        <f t="shared" ca="1" si="9"/>
        <v>90- 30- 4GGGGG1.813 E</v>
      </c>
      <c r="N58">
        <f t="shared" ca="1" si="10"/>
        <v>23.691288888888888</v>
      </c>
      <c r="O58">
        <f t="shared" ca="1" si="11"/>
        <v>90.51161472222222</v>
      </c>
    </row>
    <row r="59" spans="1:15" x14ac:dyDescent="0.3">
      <c r="A59" t="s">
        <v>2049</v>
      </c>
      <c r="B59" t="str">
        <f t="shared" ca="1" si="0"/>
        <v>23- 4</v>
      </c>
      <c r="C59" t="str">
        <f t="shared" ca="1" si="1"/>
        <v>1- 50.550 N</v>
      </c>
      <c r="D59" t="str">
        <f t="shared" ca="1" si="2"/>
        <v>SSSSS</v>
      </c>
      <c r="E59" t="str">
        <f t="shared" ca="1" si="3"/>
        <v>23- 4SSSSS1- 50.550 N</v>
      </c>
      <c r="F59" t="str">
        <f t="shared" ca="1" si="4"/>
        <v>23- 4SSSSS1- 50.550 N</v>
      </c>
      <c r="H59" t="s">
        <v>2543</v>
      </c>
      <c r="I59" t="str">
        <f t="shared" ca="1" si="5"/>
        <v>90- 20- 6.214 E</v>
      </c>
      <c r="J59" t="str">
        <f t="shared" ca="1" si="6"/>
        <v/>
      </c>
      <c r="K59" t="str">
        <f t="shared" ca="1" si="7"/>
        <v>i</v>
      </c>
      <c r="L59" t="str">
        <f t="shared" ca="1" si="8"/>
        <v>90- 20- 6.214 Ei</v>
      </c>
      <c r="M59" t="str">
        <f t="shared" ca="1" si="9"/>
        <v>90- 20- 6.214 Ei</v>
      </c>
      <c r="N59">
        <f t="shared" ca="1" si="10"/>
        <v>23.697375000000001</v>
      </c>
      <c r="O59">
        <f t="shared" ca="1" si="11"/>
        <v>90.33505944444444</v>
      </c>
    </row>
    <row r="60" spans="1:15" x14ac:dyDescent="0.3">
      <c r="A60" t="s">
        <v>2050</v>
      </c>
      <c r="B60" t="str">
        <f t="shared" ca="1" si="0"/>
        <v xml:space="preserve">23- </v>
      </c>
      <c r="C60" t="str">
        <f t="shared" ca="1" si="1"/>
        <v>41- 51.157 N</v>
      </c>
      <c r="D60" t="str">
        <f t="shared" ca="1" si="2"/>
        <v>PPPP</v>
      </c>
      <c r="E60" t="str">
        <f t="shared" ca="1" si="3"/>
        <v>23- PPPP41- 51.157 N</v>
      </c>
      <c r="F60" t="str">
        <f t="shared" ca="1" si="4"/>
        <v>23- PPPP41- 51.157 N</v>
      </c>
      <c r="H60" t="s">
        <v>2544</v>
      </c>
      <c r="I60" t="str">
        <f t="shared" ca="1" si="5"/>
        <v>90- 20- 41.</v>
      </c>
      <c r="J60" t="str">
        <f t="shared" ca="1" si="6"/>
        <v>488 E</v>
      </c>
      <c r="K60" t="str">
        <f t="shared" ca="1" si="7"/>
        <v>ss</v>
      </c>
      <c r="L60" t="str">
        <f t="shared" ca="1" si="8"/>
        <v>90- 20- 41.ss488 E</v>
      </c>
      <c r="M60" t="str">
        <f t="shared" ca="1" si="9"/>
        <v>90- 20- 41.ss488 E</v>
      </c>
      <c r="N60">
        <f t="shared" ca="1" si="10"/>
        <v>23.697543611111112</v>
      </c>
      <c r="O60">
        <f t="shared" ca="1" si="11"/>
        <v>90.344857777777776</v>
      </c>
    </row>
    <row r="61" spans="1:15" x14ac:dyDescent="0.3">
      <c r="A61" t="s">
        <v>2051</v>
      </c>
      <c r="B61" t="str">
        <f t="shared" ca="1" si="0"/>
        <v>23- 41- 5</v>
      </c>
      <c r="C61" t="str">
        <f t="shared" ca="1" si="1"/>
        <v>1.761 N</v>
      </c>
      <c r="D61" t="str">
        <f t="shared" ca="1" si="2"/>
        <v>A</v>
      </c>
      <c r="E61" t="str">
        <f t="shared" ca="1" si="3"/>
        <v>23- 41- 5A1.761 N</v>
      </c>
      <c r="F61" t="str">
        <f t="shared" ca="1" si="4"/>
        <v>23- 41- 5A1.761 N</v>
      </c>
      <c r="H61" t="s">
        <v>2545</v>
      </c>
      <c r="I61" t="str">
        <f t="shared" ca="1" si="5"/>
        <v xml:space="preserve">90- 21- 16.763 </v>
      </c>
      <c r="J61" t="str">
        <f t="shared" ca="1" si="6"/>
        <v>E</v>
      </c>
      <c r="K61" t="str">
        <f t="shared" ca="1" si="7"/>
        <v>WWW</v>
      </c>
      <c r="L61" t="str">
        <f t="shared" ca="1" si="8"/>
        <v>90- 21- 16.763 WWWE</v>
      </c>
      <c r="M61" t="str">
        <f t="shared" ca="1" si="9"/>
        <v>90- 21- 16.763 WWWE</v>
      </c>
      <c r="N61">
        <f t="shared" ca="1" si="10"/>
        <v>23.697711388888891</v>
      </c>
      <c r="O61">
        <f t="shared" ca="1" si="11"/>
        <v>90.354656388888884</v>
      </c>
    </row>
    <row r="62" spans="1:15" x14ac:dyDescent="0.3">
      <c r="A62" t="s">
        <v>2052</v>
      </c>
      <c r="B62" t="str">
        <f t="shared" ca="1" si="0"/>
        <v>23- 41- 52.363 N</v>
      </c>
      <c r="C62" t="str">
        <f t="shared" ca="1" si="1"/>
        <v/>
      </c>
      <c r="D62" t="str">
        <f t="shared" ca="1" si="2"/>
        <v>\\\</v>
      </c>
      <c r="E62" t="str">
        <f t="shared" ca="1" si="3"/>
        <v>23- 41- 52.363 N\\\</v>
      </c>
      <c r="F62" t="str">
        <f t="shared" ca="1" si="4"/>
        <v>23- 41- 52.363 N\\\</v>
      </c>
      <c r="H62" t="s">
        <v>2546</v>
      </c>
      <c r="I62" t="str">
        <f t="shared" ca="1" si="5"/>
        <v>90- 21- 5</v>
      </c>
      <c r="J62" t="str">
        <f t="shared" ca="1" si="6"/>
        <v>2.037 E</v>
      </c>
      <c r="K62" t="str">
        <f t="shared" ca="1" si="7"/>
        <v>HH</v>
      </c>
      <c r="L62" t="str">
        <f t="shared" ca="1" si="8"/>
        <v>90- 21- 5HH2.037 E</v>
      </c>
      <c r="M62" t="str">
        <f t="shared" ca="1" si="9"/>
        <v>90- 21- 5HH2.037 E</v>
      </c>
      <c r="N62">
        <f t="shared" ca="1" si="10"/>
        <v>23.697878611111111</v>
      </c>
      <c r="O62">
        <f t="shared" ca="1" si="11"/>
        <v>90.36445472222222</v>
      </c>
    </row>
    <row r="63" spans="1:15" x14ac:dyDescent="0.3">
      <c r="A63" t="s">
        <v>2053</v>
      </c>
      <c r="B63" t="str">
        <f t="shared" ca="1" si="0"/>
        <v>2</v>
      </c>
      <c r="C63" t="str">
        <f t="shared" ca="1" si="1"/>
        <v>3- 41- 5.963 N</v>
      </c>
      <c r="D63" t="str">
        <f t="shared" ca="1" si="2"/>
        <v>pp</v>
      </c>
      <c r="E63" t="str">
        <f t="shared" ca="1" si="3"/>
        <v>2pp3- 41- 5.963 N</v>
      </c>
      <c r="F63" t="str">
        <f t="shared" ca="1" si="4"/>
        <v>2pp3- 41- 5.963 N</v>
      </c>
      <c r="H63" t="s">
        <v>2547</v>
      </c>
      <c r="I63" t="str">
        <f t="shared" ca="1" si="5"/>
        <v>90- 22</v>
      </c>
      <c r="J63" t="str">
        <f t="shared" ca="1" si="6"/>
        <v>- 27.312 E</v>
      </c>
      <c r="K63" t="str">
        <f t="shared" ca="1" si="7"/>
        <v>SS</v>
      </c>
      <c r="L63" t="str">
        <f t="shared" ca="1" si="8"/>
        <v>90- 22SS- 27.312 E</v>
      </c>
      <c r="M63" t="str">
        <f t="shared" ca="1" si="9"/>
        <v>90- 22SS- 27.312 E</v>
      </c>
      <c r="N63">
        <f t="shared" ca="1" si="10"/>
        <v>23.684989722222223</v>
      </c>
      <c r="O63">
        <f t="shared" ca="1" si="11"/>
        <v>90.374253333333328</v>
      </c>
    </row>
    <row r="64" spans="1:15" x14ac:dyDescent="0.3">
      <c r="A64" t="s">
        <v>2054</v>
      </c>
      <c r="B64" t="str">
        <f t="shared" ca="1" si="0"/>
        <v>23- 41- 53.</v>
      </c>
      <c r="C64" t="str">
        <f t="shared" ca="1" si="1"/>
        <v>561 N</v>
      </c>
      <c r="D64" t="str">
        <f t="shared" ca="1" si="2"/>
        <v>BB</v>
      </c>
      <c r="E64" t="str">
        <f t="shared" ca="1" si="3"/>
        <v>23- 41- 53.BB561 N</v>
      </c>
      <c r="F64" t="str">
        <f t="shared" ca="1" si="4"/>
        <v>23- 41- 53.BB561 N</v>
      </c>
      <c r="H64" t="s">
        <v>2548</v>
      </c>
      <c r="I64" t="str">
        <f t="shared" ca="1" si="5"/>
        <v xml:space="preserve">90- </v>
      </c>
      <c r="J64" t="str">
        <f t="shared" ca="1" si="6"/>
        <v>23- 2.588 E</v>
      </c>
      <c r="K64" t="str">
        <f t="shared" ca="1" si="7"/>
        <v>^^^</v>
      </c>
      <c r="L64" t="str">
        <f t="shared" ca="1" si="8"/>
        <v>90- ^^^23- 2.588 E</v>
      </c>
      <c r="M64" t="str">
        <f t="shared" ca="1" si="9"/>
        <v>90- ^^^23- 2.588 E</v>
      </c>
      <c r="N64">
        <f t="shared" ca="1" si="10"/>
        <v>23.69821138888889</v>
      </c>
      <c r="O64">
        <f t="shared" ca="1" si="11"/>
        <v>90.384052222222223</v>
      </c>
    </row>
    <row r="65" spans="1:15" x14ac:dyDescent="0.3">
      <c r="A65" t="s">
        <v>2055</v>
      </c>
      <c r="B65" t="str">
        <f t="shared" ca="1" si="0"/>
        <v xml:space="preserve">23- 41- </v>
      </c>
      <c r="C65" t="str">
        <f t="shared" ca="1" si="1"/>
        <v>54.156 N</v>
      </c>
      <c r="D65" t="str">
        <f t="shared" ca="1" si="2"/>
        <v>SS</v>
      </c>
      <c r="E65" t="str">
        <f t="shared" ca="1" si="3"/>
        <v>23- 41- SS54.156 N</v>
      </c>
      <c r="F65" t="str">
        <f t="shared" ca="1" si="4"/>
        <v>23- 41- SS54.156 N</v>
      </c>
      <c r="H65" t="s">
        <v>2549</v>
      </c>
      <c r="I65" t="str">
        <f t="shared" ca="1" si="5"/>
        <v xml:space="preserve">90- 23- 37.864 </v>
      </c>
      <c r="J65" t="str">
        <f t="shared" ca="1" si="6"/>
        <v>E</v>
      </c>
      <c r="K65" t="str">
        <f t="shared" ca="1" si="7"/>
        <v>oo</v>
      </c>
      <c r="L65" t="str">
        <f t="shared" ca="1" si="8"/>
        <v>90- 23- 37.864 ooE</v>
      </c>
      <c r="M65" t="str">
        <f t="shared" ca="1" si="9"/>
        <v>90- 23- 37.864 ooE</v>
      </c>
      <c r="N65">
        <f t="shared" ca="1" si="10"/>
        <v>23.698376666666668</v>
      </c>
      <c r="O65">
        <f t="shared" ca="1" si="11"/>
        <v>90.393851111111118</v>
      </c>
    </row>
    <row r="66" spans="1:15" x14ac:dyDescent="0.3">
      <c r="A66" t="s">
        <v>2056</v>
      </c>
      <c r="B66" t="str">
        <f t="shared" ref="B66:B129" ca="1" si="12">LEFT(A66,RANDBETWEEN(1,LEN(A66)))</f>
        <v xml:space="preserve">23- 41- 54.749 </v>
      </c>
      <c r="C66" t="str">
        <f t="shared" ref="C66:C129" ca="1" si="13">SUBSTITUTE(A66,B66,"")</f>
        <v>N</v>
      </c>
      <c r="D66" t="str">
        <f t="shared" ca="1" si="2"/>
        <v>OOO</v>
      </c>
      <c r="E66" t="str">
        <f t="shared" ca="1" si="3"/>
        <v>23- 41- 54.749 OOON</v>
      </c>
      <c r="F66" t="str">
        <f t="shared" ca="1" si="4"/>
        <v>23- 41- 54.749 OOON</v>
      </c>
      <c r="H66" t="s">
        <v>2550</v>
      </c>
      <c r="I66" t="str">
        <f t="shared" ca="1" si="5"/>
        <v>90- 2</v>
      </c>
      <c r="J66" t="str">
        <f t="shared" ca="1" si="6"/>
        <v>4- 13.140 E</v>
      </c>
      <c r="K66" t="str">
        <f t="shared" ca="1" si="7"/>
        <v>RR</v>
      </c>
      <c r="L66" t="str">
        <f t="shared" ca="1" si="8"/>
        <v>90- 2RR4- 13.140 E</v>
      </c>
      <c r="M66" t="str">
        <f t="shared" ca="1" si="9"/>
        <v>90- 2RR4- 13.140 E</v>
      </c>
      <c r="N66">
        <f t="shared" ca="1" si="10"/>
        <v>23.698541388888888</v>
      </c>
      <c r="O66">
        <f t="shared" ca="1" si="11"/>
        <v>90.403649999999999</v>
      </c>
    </row>
    <row r="67" spans="1:15" x14ac:dyDescent="0.3">
      <c r="A67" t="s">
        <v>2057</v>
      </c>
      <c r="B67" t="str">
        <f t="shared" ca="1" si="12"/>
        <v>23- 41- 55.34</v>
      </c>
      <c r="C67" t="str">
        <f t="shared" ca="1" si="13"/>
        <v>0 N</v>
      </c>
      <c r="D67" t="str">
        <f t="shared" ref="D67:D130" ca="1" si="14">IF(ISERROR(REPT(CHAR(RANDBETWEEN(65,128)),RANDBETWEEN(1,5))),"ee",(REPT(CHAR(RANDBETWEEN(65,128)),RANDBETWEEN(1,5))))</f>
        <v>MMM</v>
      </c>
      <c r="E67" t="str">
        <f t="shared" ref="E67:E130" ca="1" si="15">B67&amp;D67&amp;C67</f>
        <v>23- 41- 55.34MMM0 N</v>
      </c>
      <c r="F67" t="str">
        <f t="shared" ref="F67:F130" ca="1" si="16">E67</f>
        <v>23- 41- 55.34MMM0 N</v>
      </c>
      <c r="H67" t="s">
        <v>2551</v>
      </c>
      <c r="I67" t="str">
        <f t="shared" ref="I67:I130" ca="1" si="17">LEFT(H67,RANDBETWEEN(1,LEN(H67)))</f>
        <v>90- 24</v>
      </c>
      <c r="J67" t="str">
        <f t="shared" ref="J67:J130" ca="1" si="18">SUBSTITUTE(H67,I67,"")</f>
        <v>- 48.416 E</v>
      </c>
      <c r="K67" t="str">
        <f t="shared" ref="K67:K130" ca="1" si="19">IF(ISERROR(REPT(CHAR(RANDBETWEEN(65,128)),RANDBETWEEN(1,5))),"ee",(REPT(CHAR(RANDBETWEEN(65,128)),RANDBETWEEN(1,5))))</f>
        <v>t</v>
      </c>
      <c r="L67" t="str">
        <f t="shared" ref="L67:L130" ca="1" si="20">I67&amp;K67&amp;J67</f>
        <v>90- 24t- 48.416 E</v>
      </c>
      <c r="M67" t="str">
        <f t="shared" ref="M67:M130" ca="1" si="21">L67</f>
        <v>90- 24t- 48.416 E</v>
      </c>
      <c r="N67">
        <f t="shared" ref="N67:N130" ca="1" si="22">DecimalDegreesConverter(F67,,,"-")</f>
        <v>23.698705555555556</v>
      </c>
      <c r="O67">
        <f t="shared" ref="O67:O130" ca="1" si="23">DecimalDegreesConverter(M67,,,"-")</f>
        <v>90.413448888888894</v>
      </c>
    </row>
    <row r="68" spans="1:15" x14ac:dyDescent="0.3">
      <c r="A68" t="s">
        <v>2058</v>
      </c>
      <c r="B68" t="str">
        <f t="shared" ca="1" si="12"/>
        <v xml:space="preserve">23- 41- </v>
      </c>
      <c r="C68" t="str">
        <f t="shared" ca="1" si="13"/>
        <v>55.929 N</v>
      </c>
      <c r="D68" t="str">
        <f t="shared" ca="1" si="14"/>
        <v>_</v>
      </c>
      <c r="E68" t="str">
        <f t="shared" ca="1" si="15"/>
        <v>23- 41- _55.929 N</v>
      </c>
      <c r="F68" t="str">
        <f t="shared" ca="1" si="16"/>
        <v>23- 41- _55.929 N</v>
      </c>
      <c r="H68" t="s">
        <v>2552</v>
      </c>
      <c r="I68" t="str">
        <f t="shared" ca="1" si="17"/>
        <v>90- 25- 23.693</v>
      </c>
      <c r="J68" t="str">
        <f t="shared" ca="1" si="18"/>
        <v xml:space="preserve"> E</v>
      </c>
      <c r="K68" t="str">
        <f t="shared" ca="1" si="19"/>
        <v>`</v>
      </c>
      <c r="L68" t="str">
        <f t="shared" ca="1" si="20"/>
        <v>90- 25- 23.693` E</v>
      </c>
      <c r="M68" t="str">
        <f t="shared" ca="1" si="21"/>
        <v>90- 25- 23.693` E</v>
      </c>
      <c r="N68">
        <f t="shared" ca="1" si="22"/>
        <v>23.698869166666668</v>
      </c>
      <c r="O68">
        <f t="shared" ca="1" si="23"/>
        <v>90.423248055555561</v>
      </c>
    </row>
    <row r="69" spans="1:15" x14ac:dyDescent="0.3">
      <c r="A69" t="s">
        <v>2059</v>
      </c>
      <c r="B69" t="str">
        <f t="shared" ca="1" si="12"/>
        <v xml:space="preserve">23- 41- 56.515 </v>
      </c>
      <c r="C69" t="str">
        <f t="shared" ca="1" si="13"/>
        <v>N</v>
      </c>
      <c r="D69" t="str">
        <f t="shared" ca="1" si="14"/>
        <v>B</v>
      </c>
      <c r="E69" t="str">
        <f t="shared" ca="1" si="15"/>
        <v>23- 41- 56.515 BN</v>
      </c>
      <c r="F69" t="str">
        <f t="shared" ca="1" si="16"/>
        <v>23- 41- 56.515 BN</v>
      </c>
      <c r="H69" t="s">
        <v>2553</v>
      </c>
      <c r="I69" t="str">
        <f t="shared" ca="1" si="17"/>
        <v>9</v>
      </c>
      <c r="J69" t="str">
        <f t="shared" ca="1" si="18"/>
        <v>0- 25- 58.70 E</v>
      </c>
      <c r="K69" t="str">
        <f t="shared" ca="1" si="19"/>
        <v>S</v>
      </c>
      <c r="L69" t="str">
        <f t="shared" ca="1" si="20"/>
        <v>9S0- 25- 58.70 E</v>
      </c>
      <c r="M69" t="str">
        <f t="shared" ca="1" si="21"/>
        <v>9S0- 25- 58.70 E</v>
      </c>
      <c r="N69">
        <f t="shared" ca="1" si="22"/>
        <v>23.699031944444446</v>
      </c>
      <c r="O69">
        <f t="shared" ca="1" si="23"/>
        <v>90.432972222222233</v>
      </c>
    </row>
    <row r="70" spans="1:15" x14ac:dyDescent="0.3">
      <c r="A70" t="s">
        <v>2060</v>
      </c>
      <c r="B70" t="str">
        <f t="shared" ca="1" si="12"/>
        <v>2</v>
      </c>
      <c r="C70" t="str">
        <f t="shared" ca="1" si="13"/>
        <v>3- 41- 57.100 N</v>
      </c>
      <c r="D70" t="str">
        <f t="shared" ca="1" si="14"/>
        <v>JJJ</v>
      </c>
      <c r="E70" t="str">
        <f t="shared" ca="1" si="15"/>
        <v>2JJJ3- 41- 57.100 N</v>
      </c>
      <c r="F70" t="str">
        <f t="shared" ca="1" si="16"/>
        <v>2JJJ3- 41- 57.100 N</v>
      </c>
      <c r="H70" t="s">
        <v>2554</v>
      </c>
      <c r="I70" t="str">
        <f t="shared" ca="1" si="17"/>
        <v>90- 26- 34</v>
      </c>
      <c r="J70" t="str">
        <f t="shared" ca="1" si="18"/>
        <v>.247 E</v>
      </c>
      <c r="K70" t="str">
        <f t="shared" ca="1" si="19"/>
        <v>jjjjj</v>
      </c>
      <c r="L70" t="str">
        <f t="shared" ca="1" si="20"/>
        <v>90- 26- 34jjjjj.247 E</v>
      </c>
      <c r="M70" t="str">
        <f t="shared" ca="1" si="21"/>
        <v>90- 26- 34jjjjj.247 E</v>
      </c>
      <c r="N70">
        <f t="shared" ca="1" si="22"/>
        <v>23.699194444444444</v>
      </c>
      <c r="O70">
        <f t="shared" ca="1" si="23"/>
        <v>90.442846388888896</v>
      </c>
    </row>
    <row r="71" spans="1:15" x14ac:dyDescent="0.3">
      <c r="A71" t="s">
        <v>2061</v>
      </c>
      <c r="B71" t="str">
        <f t="shared" ca="1" si="12"/>
        <v>23- 41-</v>
      </c>
      <c r="C71" t="str">
        <f t="shared" ca="1" si="13"/>
        <v xml:space="preserve"> 57.682 N</v>
      </c>
      <c r="D71" t="str">
        <f t="shared" ca="1" si="14"/>
        <v>__</v>
      </c>
      <c r="E71" t="str">
        <f t="shared" ca="1" si="15"/>
        <v>23- 41-__ 57.682 N</v>
      </c>
      <c r="F71" t="str">
        <f t="shared" ca="1" si="16"/>
        <v>23- 41-__ 57.682 N</v>
      </c>
      <c r="H71" t="s">
        <v>2555</v>
      </c>
      <c r="I71" t="str">
        <f t="shared" ca="1" si="17"/>
        <v xml:space="preserve">90- </v>
      </c>
      <c r="J71" t="str">
        <f t="shared" ca="1" si="18"/>
        <v>27- 9.524 E</v>
      </c>
      <c r="K71" t="str">
        <f t="shared" ca="1" si="19"/>
        <v>JJ</v>
      </c>
      <c r="L71" t="str">
        <f t="shared" ca="1" si="20"/>
        <v>90- JJ27- 9.524 E</v>
      </c>
      <c r="M71" t="str">
        <f t="shared" ca="1" si="21"/>
        <v>90- JJ27- 9.524 E</v>
      </c>
      <c r="N71">
        <f t="shared" ca="1" si="22"/>
        <v>23.699356111111111</v>
      </c>
      <c r="O71">
        <f t="shared" ca="1" si="23"/>
        <v>90.452645555555563</v>
      </c>
    </row>
    <row r="72" spans="1:15" x14ac:dyDescent="0.3">
      <c r="A72" t="s">
        <v>2062</v>
      </c>
      <c r="B72" t="str">
        <f t="shared" ca="1" si="12"/>
        <v>23- 4</v>
      </c>
      <c r="C72" t="str">
        <f t="shared" ca="1" si="13"/>
        <v>1- 58.261 N</v>
      </c>
      <c r="D72" t="str">
        <f t="shared" ca="1" si="14"/>
        <v>NNN</v>
      </c>
      <c r="E72" t="str">
        <f t="shared" ca="1" si="15"/>
        <v>23- 4NNN1- 58.261 N</v>
      </c>
      <c r="F72" t="str">
        <f t="shared" ca="1" si="16"/>
        <v>23- 4NNN1- 58.261 N</v>
      </c>
      <c r="H72" t="s">
        <v>2556</v>
      </c>
      <c r="I72" t="str">
        <f t="shared" ca="1" si="17"/>
        <v xml:space="preserve">90- 27- </v>
      </c>
      <c r="J72" t="str">
        <f t="shared" ca="1" si="18"/>
        <v>44.802 E</v>
      </c>
      <c r="K72" t="str">
        <f t="shared" ca="1" si="19"/>
        <v>ggggg</v>
      </c>
      <c r="L72" t="str">
        <f t="shared" ca="1" si="20"/>
        <v>90- 27- ggggg44.802 E</v>
      </c>
      <c r="M72" t="str">
        <f t="shared" ca="1" si="21"/>
        <v>90- 27- ggggg44.802 E</v>
      </c>
      <c r="N72">
        <f t="shared" ca="1" si="22"/>
        <v>23.699516944444444</v>
      </c>
      <c r="O72">
        <f t="shared" ca="1" si="23"/>
        <v>90.462445000000002</v>
      </c>
    </row>
    <row r="73" spans="1:15" x14ac:dyDescent="0.3">
      <c r="A73" t="s">
        <v>2063</v>
      </c>
      <c r="B73" t="str">
        <f t="shared" ca="1" si="12"/>
        <v>2</v>
      </c>
      <c r="C73" t="str">
        <f t="shared" ca="1" si="13"/>
        <v>3- 41- 58.839 N</v>
      </c>
      <c r="D73" t="str">
        <f t="shared" ca="1" si="14"/>
        <v>lllll</v>
      </c>
      <c r="E73" t="str">
        <f t="shared" ca="1" si="15"/>
        <v>2lllll3- 41- 58.839 N</v>
      </c>
      <c r="F73" t="str">
        <f t="shared" ca="1" si="16"/>
        <v>2lllll3- 41- 58.839 N</v>
      </c>
      <c r="H73" t="s">
        <v>2557</v>
      </c>
      <c r="I73" t="str">
        <f t="shared" ca="1" si="17"/>
        <v>90- 2</v>
      </c>
      <c r="J73" t="str">
        <f t="shared" ca="1" si="18"/>
        <v>8- 20.081 E</v>
      </c>
      <c r="K73" t="str">
        <f t="shared" ca="1" si="19"/>
        <v>LL</v>
      </c>
      <c r="L73" t="str">
        <f t="shared" ca="1" si="20"/>
        <v>90- 2LL8- 20.081 E</v>
      </c>
      <c r="M73" t="str">
        <f t="shared" ca="1" si="21"/>
        <v>90- 2LL8- 20.081 E</v>
      </c>
      <c r="N73">
        <f t="shared" ca="1" si="22"/>
        <v>23.6996775</v>
      </c>
      <c r="O73">
        <f t="shared" ca="1" si="23"/>
        <v>90.472244722222229</v>
      </c>
    </row>
    <row r="74" spans="1:15" x14ac:dyDescent="0.3">
      <c r="A74" t="s">
        <v>2064</v>
      </c>
      <c r="B74" t="str">
        <f t="shared" ca="1" si="12"/>
        <v>23</v>
      </c>
      <c r="C74" t="str">
        <f t="shared" ca="1" si="13"/>
        <v>- 41- 59.414 N</v>
      </c>
      <c r="D74" t="str">
        <f t="shared" ca="1" si="14"/>
        <v>yy</v>
      </c>
      <c r="E74" t="str">
        <f t="shared" ca="1" si="15"/>
        <v>23yy- 41- 59.414 N</v>
      </c>
      <c r="F74" t="str">
        <f t="shared" ca="1" si="16"/>
        <v>23yy- 41- 59.414 N</v>
      </c>
      <c r="H74" t="s">
        <v>2558</v>
      </c>
      <c r="I74" t="str">
        <f t="shared" ca="1" si="17"/>
        <v>90- 28- 55.359</v>
      </c>
      <c r="J74" t="str">
        <f t="shared" ca="1" si="18"/>
        <v xml:space="preserve"> E</v>
      </c>
      <c r="K74" t="str">
        <f t="shared" ca="1" si="19"/>
        <v>}</v>
      </c>
      <c r="L74" t="str">
        <f t="shared" ca="1" si="20"/>
        <v>90- 28- 55.359} E</v>
      </c>
      <c r="M74" t="str">
        <f t="shared" ca="1" si="21"/>
        <v>90- 28- 55.359} E</v>
      </c>
      <c r="N74">
        <f t="shared" ca="1" si="22"/>
        <v>23.699837222222222</v>
      </c>
      <c r="O74">
        <f t="shared" ca="1" si="23"/>
        <v>90.482044166666668</v>
      </c>
    </row>
    <row r="75" spans="1:15" x14ac:dyDescent="0.3">
      <c r="A75" t="s">
        <v>2065</v>
      </c>
      <c r="B75" t="str">
        <f t="shared" ca="1" si="12"/>
        <v>23</v>
      </c>
      <c r="C75" t="str">
        <f t="shared" ca="1" si="13"/>
        <v>- 41- 59.987 N</v>
      </c>
      <c r="D75" t="str">
        <f t="shared" ca="1" si="14"/>
        <v>F</v>
      </c>
      <c r="E75" t="str">
        <f t="shared" ca="1" si="15"/>
        <v>23F- 41- 59.987 N</v>
      </c>
      <c r="F75" t="str">
        <f t="shared" ca="1" si="16"/>
        <v>23F- 41- 59.987 N</v>
      </c>
      <c r="H75" t="s">
        <v>2559</v>
      </c>
      <c r="I75" t="str">
        <f t="shared" ca="1" si="17"/>
        <v>90- 29- 30.6</v>
      </c>
      <c r="J75" t="str">
        <f t="shared" ca="1" si="18"/>
        <v>38 E</v>
      </c>
      <c r="K75" t="str">
        <f t="shared" ca="1" si="19"/>
        <v>ii</v>
      </c>
      <c r="L75" t="str">
        <f t="shared" ca="1" si="20"/>
        <v>90- 29- 30.6ii38 E</v>
      </c>
      <c r="M75" t="str">
        <f t="shared" ca="1" si="21"/>
        <v>90- 29- 30.6ii38 E</v>
      </c>
      <c r="N75">
        <f t="shared" ca="1" si="22"/>
        <v>23.699996388888888</v>
      </c>
      <c r="O75">
        <f t="shared" ca="1" si="23"/>
        <v>90.491843888888894</v>
      </c>
    </row>
    <row r="76" spans="1:15" x14ac:dyDescent="0.3">
      <c r="A76" t="s">
        <v>2066</v>
      </c>
      <c r="B76" t="str">
        <f t="shared" ca="1" si="12"/>
        <v>23- 42</v>
      </c>
      <c r="C76" t="str">
        <f t="shared" ca="1" si="13"/>
        <v>- 0.558 N</v>
      </c>
      <c r="D76" t="str">
        <f t="shared" ca="1" si="14"/>
        <v>mm</v>
      </c>
      <c r="E76" t="str">
        <f t="shared" ca="1" si="15"/>
        <v>23- 42mm- 0.558 N</v>
      </c>
      <c r="F76" t="str">
        <f t="shared" ca="1" si="16"/>
        <v>23- 42mm- 0.558 N</v>
      </c>
      <c r="H76" t="s">
        <v>2560</v>
      </c>
      <c r="I76" t="str">
        <f t="shared" ca="1" si="17"/>
        <v>90- 30-</v>
      </c>
      <c r="J76" t="str">
        <f t="shared" ca="1" si="18"/>
        <v xml:space="preserve"> 5.917 E</v>
      </c>
      <c r="K76" t="str">
        <f t="shared" ca="1" si="19"/>
        <v>ll</v>
      </c>
      <c r="L76" t="str">
        <f t="shared" ca="1" si="20"/>
        <v>90- 30-ll 5.917 E</v>
      </c>
      <c r="M76" t="str">
        <f t="shared" ca="1" si="21"/>
        <v>90- 30-ll 5.917 E</v>
      </c>
      <c r="N76">
        <f t="shared" ca="1" si="22"/>
        <v>23.700154999999999</v>
      </c>
      <c r="O76">
        <f t="shared" ca="1" si="23"/>
        <v>90.501643611111106</v>
      </c>
    </row>
    <row r="77" spans="1:15" x14ac:dyDescent="0.3">
      <c r="A77" t="s">
        <v>2067</v>
      </c>
      <c r="B77" t="str">
        <f t="shared" ca="1" si="12"/>
        <v>23- 42</v>
      </c>
      <c r="C77" t="str">
        <f t="shared" ca="1" si="13"/>
        <v>- 1.127 N</v>
      </c>
      <c r="D77" t="str">
        <f t="shared" ca="1" si="14"/>
        <v>e</v>
      </c>
      <c r="E77" t="str">
        <f t="shared" ca="1" si="15"/>
        <v>23- 42e- 1.127 N</v>
      </c>
      <c r="F77" t="str">
        <f t="shared" ca="1" si="16"/>
        <v>23- 42e- 1.127 N</v>
      </c>
      <c r="H77" t="s">
        <v>2561</v>
      </c>
      <c r="I77" t="str">
        <f t="shared" ca="1" si="17"/>
        <v>90- 30- 41.</v>
      </c>
      <c r="J77" t="str">
        <f t="shared" ca="1" si="18"/>
        <v>197 E</v>
      </c>
      <c r="K77" t="str">
        <f t="shared" ca="1" si="19"/>
        <v>fffff</v>
      </c>
      <c r="L77" t="str">
        <f t="shared" ca="1" si="20"/>
        <v>90- 30- 41.fffff197 E</v>
      </c>
      <c r="M77" t="str">
        <f t="shared" ca="1" si="21"/>
        <v>90- 30- 41.fffff197 E</v>
      </c>
      <c r="N77">
        <f t="shared" ca="1" si="22"/>
        <v>23.700313055555554</v>
      </c>
      <c r="O77">
        <f t="shared" ca="1" si="23"/>
        <v>90.511443611111105</v>
      </c>
    </row>
    <row r="78" spans="1:15" x14ac:dyDescent="0.3">
      <c r="A78" t="s">
        <v>2068</v>
      </c>
      <c r="B78" t="str">
        <f t="shared" ca="1" si="12"/>
        <v xml:space="preserve">23- 42- </v>
      </c>
      <c r="C78" t="str">
        <f t="shared" ca="1" si="13"/>
        <v>23.032 N</v>
      </c>
      <c r="D78" t="str">
        <f t="shared" ca="1" si="14"/>
        <v>fff</v>
      </c>
      <c r="E78" t="str">
        <f t="shared" ca="1" si="15"/>
        <v>23- 42- fff23.032 N</v>
      </c>
      <c r="F78" t="str">
        <f t="shared" ca="1" si="16"/>
        <v>23- 42- fff23.032 N</v>
      </c>
      <c r="H78" t="s">
        <v>2562</v>
      </c>
      <c r="I78" t="str">
        <f t="shared" ca="1" si="17"/>
        <v xml:space="preserve">90- </v>
      </c>
      <c r="J78" t="str">
        <f t="shared" ca="1" si="18"/>
        <v>20- 5.554 E</v>
      </c>
      <c r="K78" t="str">
        <f t="shared" ca="1" si="19"/>
        <v>DD</v>
      </c>
      <c r="L78" t="str">
        <f t="shared" ca="1" si="20"/>
        <v>90- DD20- 5.554 E</v>
      </c>
      <c r="M78" t="str">
        <f t="shared" ca="1" si="21"/>
        <v>90- DD20- 5.554 E</v>
      </c>
      <c r="N78">
        <f t="shared" ca="1" si="22"/>
        <v>23.706397777777777</v>
      </c>
      <c r="O78">
        <f t="shared" ca="1" si="23"/>
        <v>90.3348761111111</v>
      </c>
    </row>
    <row r="79" spans="1:15" x14ac:dyDescent="0.3">
      <c r="A79" t="s">
        <v>2069</v>
      </c>
      <c r="B79" t="str">
        <f t="shared" ca="1" si="12"/>
        <v>23-</v>
      </c>
      <c r="C79" t="str">
        <f t="shared" ca="1" si="13"/>
        <v xml:space="preserve"> 42- 23.639 N</v>
      </c>
      <c r="D79" t="str">
        <f t="shared" ca="1" si="14"/>
        <v>ii</v>
      </c>
      <c r="E79" t="str">
        <f t="shared" ca="1" si="15"/>
        <v>23-ii 42- 23.639 N</v>
      </c>
      <c r="F79" t="str">
        <f t="shared" ca="1" si="16"/>
        <v>23-ii 42- 23.639 N</v>
      </c>
      <c r="H79" t="s">
        <v>2563</v>
      </c>
      <c r="I79" t="str">
        <f t="shared" ca="1" si="17"/>
        <v>90- 2</v>
      </c>
      <c r="J79" t="str">
        <f t="shared" ca="1" si="18"/>
        <v>0- 40.831 E</v>
      </c>
      <c r="K79" t="str">
        <f t="shared" ca="1" si="19"/>
        <v>rr</v>
      </c>
      <c r="L79" t="str">
        <f t="shared" ca="1" si="20"/>
        <v>90- 2rr0- 40.831 E</v>
      </c>
      <c r="M79" t="str">
        <f t="shared" ca="1" si="21"/>
        <v>90- 2rr0- 40.831 E</v>
      </c>
      <c r="N79">
        <f t="shared" ca="1" si="22"/>
        <v>23.706566388888888</v>
      </c>
      <c r="O79">
        <f t="shared" ca="1" si="23"/>
        <v>90.344675277777768</v>
      </c>
    </row>
    <row r="80" spans="1:15" x14ac:dyDescent="0.3">
      <c r="A80" t="s">
        <v>2070</v>
      </c>
      <c r="B80" t="str">
        <f t="shared" ca="1" si="12"/>
        <v xml:space="preserve">23- 42- </v>
      </c>
      <c r="C80" t="str">
        <f t="shared" ca="1" si="13"/>
        <v>24.244 N</v>
      </c>
      <c r="D80" t="str">
        <f t="shared" ca="1" si="14"/>
        <v>AA</v>
      </c>
      <c r="E80" t="str">
        <f t="shared" ca="1" si="15"/>
        <v>23- 42- AA24.244 N</v>
      </c>
      <c r="F80" t="str">
        <f t="shared" ca="1" si="16"/>
        <v>23- 42- AA24.244 N</v>
      </c>
      <c r="H80" t="s">
        <v>2564</v>
      </c>
      <c r="I80" t="str">
        <f t="shared" ca="1" si="17"/>
        <v>90- 21- 16.107</v>
      </c>
      <c r="J80" t="str">
        <f t="shared" ca="1" si="18"/>
        <v xml:space="preserve"> E</v>
      </c>
      <c r="K80" t="str">
        <f t="shared" ca="1" si="19"/>
        <v>kkkk</v>
      </c>
      <c r="L80" t="str">
        <f t="shared" ca="1" si="20"/>
        <v>90- 21- 16.107kkkk E</v>
      </c>
      <c r="M80" t="str">
        <f t="shared" ca="1" si="21"/>
        <v>90- 21- 16.107kkkk E</v>
      </c>
      <c r="N80">
        <f t="shared" ca="1" si="22"/>
        <v>23.706734444444443</v>
      </c>
      <c r="O80">
        <f t="shared" ca="1" si="23"/>
        <v>90.354474166666662</v>
      </c>
    </row>
    <row r="81" spans="1:15" x14ac:dyDescent="0.3">
      <c r="A81" t="s">
        <v>2071</v>
      </c>
      <c r="B81" t="str">
        <f t="shared" ca="1" si="12"/>
        <v>2</v>
      </c>
      <c r="C81" t="str">
        <f t="shared" ca="1" si="13"/>
        <v>3- 4- 4.846 N</v>
      </c>
      <c r="D81" t="str">
        <f t="shared" ca="1" si="14"/>
        <v>dd</v>
      </c>
      <c r="E81" t="str">
        <f t="shared" ca="1" si="15"/>
        <v>2dd3- 4- 4.846 N</v>
      </c>
      <c r="F81" t="str">
        <f t="shared" ca="1" si="16"/>
        <v>2dd3- 4- 4.846 N</v>
      </c>
      <c r="H81" t="s">
        <v>2565</v>
      </c>
      <c r="I81" t="str">
        <f t="shared" ca="1" si="17"/>
        <v>90- 21- 5</v>
      </c>
      <c r="J81" t="str">
        <f t="shared" ca="1" si="18"/>
        <v>1.385 E</v>
      </c>
      <c r="K81" t="str">
        <f t="shared" ca="1" si="19"/>
        <v>L</v>
      </c>
      <c r="L81" t="str">
        <f t="shared" ca="1" si="20"/>
        <v>90- 21- 5L1.385 E</v>
      </c>
      <c r="M81" t="str">
        <f t="shared" ca="1" si="21"/>
        <v>90- 21- 5L1.385 E</v>
      </c>
      <c r="N81">
        <f t="shared" ca="1" si="22"/>
        <v>23.068012777777778</v>
      </c>
      <c r="O81">
        <f t="shared" ca="1" si="23"/>
        <v>90.364273611111102</v>
      </c>
    </row>
    <row r="82" spans="1:15" x14ac:dyDescent="0.3">
      <c r="A82" t="s">
        <v>2072</v>
      </c>
      <c r="B82" t="str">
        <f t="shared" ca="1" si="12"/>
        <v>23- 42- 25.446 N</v>
      </c>
      <c r="C82" t="str">
        <f t="shared" ca="1" si="13"/>
        <v/>
      </c>
      <c r="D82" t="str">
        <f t="shared" ca="1" si="14"/>
        <v>u</v>
      </c>
      <c r="E82" t="str">
        <f t="shared" ca="1" si="15"/>
        <v>23- 42- 25.446 Nu</v>
      </c>
      <c r="F82" t="str">
        <f t="shared" ca="1" si="16"/>
        <v>23- 42- 25.446 Nu</v>
      </c>
      <c r="H82" t="s">
        <v>2566</v>
      </c>
      <c r="I82" t="str">
        <f t="shared" ca="1" si="17"/>
        <v>90</v>
      </c>
      <c r="J82" t="str">
        <f t="shared" ca="1" si="18"/>
        <v>- 22- 26.662 E</v>
      </c>
      <c r="K82" t="str">
        <f t="shared" ca="1" si="19"/>
        <v>XXXXX</v>
      </c>
      <c r="L82" t="str">
        <f t="shared" ca="1" si="20"/>
        <v>90XXXXX- 22- 26.662 E</v>
      </c>
      <c r="M82" t="str">
        <f t="shared" ca="1" si="21"/>
        <v>90XXXXX- 22- 26.662 E</v>
      </c>
      <c r="N82">
        <f t="shared" ca="1" si="22"/>
        <v>23.707068333333332</v>
      </c>
      <c r="O82">
        <f t="shared" ca="1" si="23"/>
        <v>90.374072777777769</v>
      </c>
    </row>
    <row r="83" spans="1:15" x14ac:dyDescent="0.3">
      <c r="A83" t="s">
        <v>2073</v>
      </c>
      <c r="B83" t="str">
        <f t="shared" ca="1" si="12"/>
        <v>23-</v>
      </c>
      <c r="C83" t="str">
        <f t="shared" ca="1" si="13"/>
        <v xml:space="preserve"> 42- 26.044 N</v>
      </c>
      <c r="D83" t="str">
        <f t="shared" ca="1" si="14"/>
        <v>FFF</v>
      </c>
      <c r="E83" t="str">
        <f t="shared" ca="1" si="15"/>
        <v>23-FFF 42- 26.044 N</v>
      </c>
      <c r="F83" t="str">
        <f t="shared" ca="1" si="16"/>
        <v>23-FFF 42- 26.044 N</v>
      </c>
      <c r="H83" t="s">
        <v>2567</v>
      </c>
      <c r="I83" t="str">
        <f t="shared" ca="1" si="17"/>
        <v>90- 23- 1</v>
      </c>
      <c r="J83" t="str">
        <f t="shared" ca="1" si="18"/>
        <v>.940 E</v>
      </c>
      <c r="K83" t="str">
        <f t="shared" ca="1" si="19"/>
        <v>G</v>
      </c>
      <c r="L83" t="str">
        <f t="shared" ca="1" si="20"/>
        <v>90- 23- 1G.940 E</v>
      </c>
      <c r="M83" t="str">
        <f t="shared" ca="1" si="21"/>
        <v>90- 23- 1G.940 E</v>
      </c>
      <c r="N83">
        <f t="shared" ca="1" si="22"/>
        <v>23.707234444444445</v>
      </c>
      <c r="O83">
        <f t="shared" ca="1" si="23"/>
        <v>90.383872222222223</v>
      </c>
    </row>
    <row r="84" spans="1:15" x14ac:dyDescent="0.3">
      <c r="A84" t="s">
        <v>2074</v>
      </c>
      <c r="B84" t="str">
        <f t="shared" ca="1" si="12"/>
        <v>23- 42</v>
      </c>
      <c r="C84" t="str">
        <f t="shared" ca="1" si="13"/>
        <v>- 26.640 N</v>
      </c>
      <c r="D84" t="str">
        <f t="shared" ca="1" si="14"/>
        <v>L</v>
      </c>
      <c r="E84" t="str">
        <f t="shared" ca="1" si="15"/>
        <v>23- 42L- 26.640 N</v>
      </c>
      <c r="F84" t="str">
        <f t="shared" ca="1" si="16"/>
        <v>23- 42L- 26.640 N</v>
      </c>
      <c r="H84" t="s">
        <v>2568</v>
      </c>
      <c r="I84" t="str">
        <f t="shared" ca="1" si="17"/>
        <v>90- 23- 37.218</v>
      </c>
      <c r="J84" t="str">
        <f t="shared" ca="1" si="18"/>
        <v xml:space="preserve"> E</v>
      </c>
      <c r="K84" t="str">
        <f t="shared" ca="1" si="19"/>
        <v>kkkk</v>
      </c>
      <c r="L84" t="str">
        <f t="shared" ca="1" si="20"/>
        <v>90- 23- 37.218kkkk E</v>
      </c>
      <c r="M84" t="str">
        <f t="shared" ca="1" si="21"/>
        <v>90- 23- 37.218kkkk E</v>
      </c>
      <c r="N84">
        <f t="shared" ca="1" si="22"/>
        <v>23.7074</v>
      </c>
      <c r="O84">
        <f t="shared" ca="1" si="23"/>
        <v>90.393671666666677</v>
      </c>
    </row>
    <row r="85" spans="1:15" x14ac:dyDescent="0.3">
      <c r="A85" t="s">
        <v>2075</v>
      </c>
      <c r="B85" t="str">
        <f t="shared" ca="1" si="12"/>
        <v>23- 42- 27.2</v>
      </c>
      <c r="C85" t="str">
        <f t="shared" ca="1" si="13"/>
        <v>33 N</v>
      </c>
      <c r="D85" t="str">
        <f t="shared" ca="1" si="14"/>
        <v>hhh</v>
      </c>
      <c r="E85" t="str">
        <f t="shared" ca="1" si="15"/>
        <v>23- 42- 27.2hhh33 N</v>
      </c>
      <c r="F85" t="str">
        <f t="shared" ca="1" si="16"/>
        <v>23- 42- 27.2hhh33 N</v>
      </c>
      <c r="H85" t="s">
        <v>2569</v>
      </c>
      <c r="I85" t="str">
        <f t="shared" ca="1" si="17"/>
        <v>90- 24-</v>
      </c>
      <c r="J85" t="str">
        <f t="shared" ca="1" si="18"/>
        <v xml:space="preserve"> 12.496 E</v>
      </c>
      <c r="K85" t="str">
        <f t="shared" ca="1" si="19"/>
        <v>iiiii</v>
      </c>
      <c r="L85" t="str">
        <f t="shared" ca="1" si="20"/>
        <v>90- 24-iiiii 12.496 E</v>
      </c>
      <c r="M85" t="str">
        <f t="shared" ca="1" si="21"/>
        <v>90- 24-iiiii 12.496 E</v>
      </c>
      <c r="N85">
        <f t="shared" ca="1" si="22"/>
        <v>23.707564722222223</v>
      </c>
      <c r="O85">
        <f t="shared" ca="1" si="23"/>
        <v>90.403471111111116</v>
      </c>
    </row>
    <row r="86" spans="1:15" x14ac:dyDescent="0.3">
      <c r="A86" t="s">
        <v>2076</v>
      </c>
      <c r="B86" t="str">
        <f t="shared" ca="1" si="12"/>
        <v>23- 42- 27.8</v>
      </c>
      <c r="C86" t="str">
        <f t="shared" ca="1" si="13"/>
        <v>24 N</v>
      </c>
      <c r="D86" t="str">
        <f t="shared" ca="1" si="14"/>
        <v>III</v>
      </c>
      <c r="E86" t="str">
        <f t="shared" ca="1" si="15"/>
        <v>23- 42- 27.8III24 N</v>
      </c>
      <c r="F86" t="str">
        <f t="shared" ca="1" si="16"/>
        <v>23- 42- 27.8III24 N</v>
      </c>
      <c r="H86" t="s">
        <v>2570</v>
      </c>
      <c r="I86" t="str">
        <f t="shared" ca="1" si="17"/>
        <v>90- 24- 47.</v>
      </c>
      <c r="J86" t="str">
        <f t="shared" ca="1" si="18"/>
        <v>775 E</v>
      </c>
      <c r="K86" t="str">
        <f t="shared" ca="1" si="19"/>
        <v>WWW</v>
      </c>
      <c r="L86" t="str">
        <f t="shared" ca="1" si="20"/>
        <v>90- 24- 47.WWW775 E</v>
      </c>
      <c r="M86" t="str">
        <f t="shared" ca="1" si="21"/>
        <v>90- 24- 47.WWW775 E</v>
      </c>
      <c r="N86">
        <f t="shared" ca="1" si="22"/>
        <v>23.707728888888887</v>
      </c>
      <c r="O86">
        <f t="shared" ca="1" si="23"/>
        <v>90.413270833333343</v>
      </c>
    </row>
    <row r="87" spans="1:15" x14ac:dyDescent="0.3">
      <c r="A87" t="s">
        <v>2077</v>
      </c>
      <c r="B87" t="str">
        <f t="shared" ca="1" si="12"/>
        <v>23- 42- 28.</v>
      </c>
      <c r="C87" t="str">
        <f t="shared" ca="1" si="13"/>
        <v>413 N</v>
      </c>
      <c r="D87" t="str">
        <f t="shared" ca="1" si="14"/>
        <v>YYYYY</v>
      </c>
      <c r="E87" t="str">
        <f t="shared" ca="1" si="15"/>
        <v>23- 42- 28.YYYYY413 N</v>
      </c>
      <c r="F87" t="str">
        <f t="shared" ca="1" si="16"/>
        <v>23- 42- 28.YYYYY413 N</v>
      </c>
      <c r="H87" t="s">
        <v>2571</v>
      </c>
      <c r="I87" t="str">
        <f t="shared" ca="1" si="17"/>
        <v>90-</v>
      </c>
      <c r="J87" t="str">
        <f t="shared" ca="1" si="18"/>
        <v xml:space="preserve"> 25- 23.054 E</v>
      </c>
      <c r="K87" t="str">
        <f t="shared" ca="1" si="19"/>
        <v>P</v>
      </c>
      <c r="L87" t="str">
        <f t="shared" ca="1" si="20"/>
        <v>90-P 25- 23.054 E</v>
      </c>
      <c r="M87" t="str">
        <f t="shared" ca="1" si="21"/>
        <v>90-P 25- 23.054 E</v>
      </c>
      <c r="N87">
        <f t="shared" ca="1" si="22"/>
        <v>23.7078925</v>
      </c>
      <c r="O87">
        <f t="shared" ca="1" si="23"/>
        <v>90.423070555555555</v>
      </c>
    </row>
    <row r="88" spans="1:15" x14ac:dyDescent="0.3">
      <c r="A88" t="s">
        <v>2078</v>
      </c>
      <c r="B88" t="str">
        <f t="shared" ca="1" si="12"/>
        <v>23- 42- 29.000 N</v>
      </c>
      <c r="C88" t="str">
        <f t="shared" ca="1" si="13"/>
        <v/>
      </c>
      <c r="D88" t="str">
        <f t="shared" ca="1" si="14"/>
        <v>MMMMM</v>
      </c>
      <c r="E88" t="str">
        <f t="shared" ca="1" si="15"/>
        <v>23- 42- 29.000 NMMMMM</v>
      </c>
      <c r="F88" t="str">
        <f t="shared" ca="1" si="16"/>
        <v>23- 42- 29.000 NMMMMM</v>
      </c>
      <c r="H88" t="s">
        <v>2572</v>
      </c>
      <c r="I88" t="str">
        <f t="shared" ca="1" si="17"/>
        <v>9</v>
      </c>
      <c r="J88" t="str">
        <f t="shared" ca="1" si="18"/>
        <v>0- 25- 58.334 E</v>
      </c>
      <c r="K88" t="str">
        <f t="shared" ca="1" si="19"/>
        <v>iiii</v>
      </c>
      <c r="L88" t="str">
        <f t="shared" ca="1" si="20"/>
        <v>9iiii0- 25- 58.334 E</v>
      </c>
      <c r="M88" t="str">
        <f t="shared" ca="1" si="21"/>
        <v>9iiii0- 25- 58.334 E</v>
      </c>
      <c r="N88">
        <f t="shared" ca="1" si="22"/>
        <v>23.708055555555553</v>
      </c>
      <c r="O88">
        <f t="shared" ca="1" si="23"/>
        <v>90.432870555555567</v>
      </c>
    </row>
    <row r="89" spans="1:15" x14ac:dyDescent="0.3">
      <c r="A89" t="s">
        <v>2079</v>
      </c>
      <c r="B89" t="str">
        <f t="shared" ca="1" si="12"/>
        <v>23- 42- 2</v>
      </c>
      <c r="C89" t="str">
        <f t="shared" ca="1" si="13"/>
        <v>9.585 N</v>
      </c>
      <c r="D89" t="str">
        <f t="shared" ca="1" si="14"/>
        <v>FF</v>
      </c>
      <c r="E89" t="str">
        <f t="shared" ca="1" si="15"/>
        <v>23- 42- 2FF9.585 N</v>
      </c>
      <c r="F89" t="str">
        <f t="shared" ca="1" si="16"/>
        <v>23- 42- 2FF9.585 N</v>
      </c>
      <c r="H89" t="s">
        <v>2573</v>
      </c>
      <c r="I89" t="str">
        <f t="shared" ca="1" si="17"/>
        <v>90- 26- 33</v>
      </c>
      <c r="J89" t="str">
        <f t="shared" ca="1" si="18"/>
        <v>.613 E</v>
      </c>
      <c r="K89" t="str">
        <f t="shared" ca="1" si="19"/>
        <v>xx</v>
      </c>
      <c r="L89" t="str">
        <f t="shared" ca="1" si="20"/>
        <v>90- 26- 33xx.613 E</v>
      </c>
      <c r="M89" t="str">
        <f t="shared" ca="1" si="21"/>
        <v>90- 26- 33xx.613 E</v>
      </c>
      <c r="N89">
        <f t="shared" ca="1" si="22"/>
        <v>23.708218055555555</v>
      </c>
      <c r="O89">
        <f t="shared" ca="1" si="23"/>
        <v>90.442670277777779</v>
      </c>
    </row>
    <row r="90" spans="1:15" x14ac:dyDescent="0.3">
      <c r="A90" t="s">
        <v>2080</v>
      </c>
      <c r="B90" t="str">
        <f t="shared" ca="1" si="12"/>
        <v>23- 42- 30.1</v>
      </c>
      <c r="C90" t="str">
        <f t="shared" ca="1" si="13"/>
        <v>67 N</v>
      </c>
      <c r="D90" t="str">
        <f t="shared" ca="1" si="14"/>
        <v>kkkkk</v>
      </c>
      <c r="E90" t="str">
        <f t="shared" ca="1" si="15"/>
        <v>23- 42- 30.1kkkkk67 N</v>
      </c>
      <c r="F90" t="str">
        <f t="shared" ca="1" si="16"/>
        <v>23- 42- 30.1kkkkk67 N</v>
      </c>
      <c r="H90" t="s">
        <v>2574</v>
      </c>
      <c r="I90" t="str">
        <f t="shared" ca="1" si="17"/>
        <v>9</v>
      </c>
      <c r="J90" t="str">
        <f t="shared" ca="1" si="18"/>
        <v>0- 27- 8.83 E</v>
      </c>
      <c r="K90" t="str">
        <f t="shared" ca="1" si="19"/>
        <v>]]]</v>
      </c>
      <c r="L90" t="str">
        <f t="shared" ca="1" si="20"/>
        <v>9]]]0- 27- 8.83 E</v>
      </c>
      <c r="M90" t="str">
        <f t="shared" ca="1" si="21"/>
        <v>9]]]0- 27- 8.83 E</v>
      </c>
      <c r="N90">
        <f t="shared" ca="1" si="22"/>
        <v>23.708379722222222</v>
      </c>
      <c r="O90">
        <f t="shared" ca="1" si="23"/>
        <v>90.452452777777779</v>
      </c>
    </row>
    <row r="91" spans="1:15" x14ac:dyDescent="0.3">
      <c r="A91" t="s">
        <v>2081</v>
      </c>
      <c r="B91" t="str">
        <f t="shared" ca="1" si="12"/>
        <v>23- 42- 30.747</v>
      </c>
      <c r="C91" t="str">
        <f t="shared" ca="1" si="13"/>
        <v xml:space="preserve"> N</v>
      </c>
      <c r="D91" t="str">
        <f t="shared" ca="1" si="14"/>
        <v>nnnn</v>
      </c>
      <c r="E91" t="str">
        <f t="shared" ca="1" si="15"/>
        <v>23- 42- 30.747nnnn N</v>
      </c>
      <c r="F91" t="str">
        <f t="shared" ca="1" si="16"/>
        <v>23- 42- 30.747nnnn N</v>
      </c>
      <c r="H91" t="s">
        <v>2575</v>
      </c>
      <c r="I91" t="str">
        <f t="shared" ca="1" si="17"/>
        <v>90- 27</v>
      </c>
      <c r="J91" t="str">
        <f t="shared" ca="1" si="18"/>
        <v>- 44.174 E</v>
      </c>
      <c r="K91" t="str">
        <f t="shared" ca="1" si="19"/>
        <v></v>
      </c>
      <c r="L91" t="str">
        <f t="shared" ca="1" si="20"/>
        <v>90- 27- 44.174 E</v>
      </c>
      <c r="M91" t="str">
        <f t="shared" ca="1" si="21"/>
        <v>90- 27- 44.174 E</v>
      </c>
      <c r="N91">
        <f t="shared" ca="1" si="22"/>
        <v>23.708540833333334</v>
      </c>
      <c r="O91">
        <f t="shared" ca="1" si="23"/>
        <v>90.462270555555563</v>
      </c>
    </row>
    <row r="92" spans="1:15" x14ac:dyDescent="0.3">
      <c r="A92" t="s">
        <v>2082</v>
      </c>
      <c r="B92" t="str">
        <f t="shared" ca="1" si="12"/>
        <v>23- 42- 31</v>
      </c>
      <c r="C92" t="str">
        <f t="shared" ca="1" si="13"/>
        <v>.325 N</v>
      </c>
      <c r="D92" t="str">
        <f t="shared" ca="1" si="14"/>
        <v>Z</v>
      </c>
      <c r="E92" t="str">
        <f t="shared" ca="1" si="15"/>
        <v>23- 42- 31Z.325 N</v>
      </c>
      <c r="F92" t="str">
        <f t="shared" ca="1" si="16"/>
        <v>23- 42- 31Z.325 N</v>
      </c>
      <c r="H92" t="s">
        <v>2576</v>
      </c>
      <c r="I92" t="str">
        <f t="shared" ca="1" si="17"/>
        <v xml:space="preserve">90- 28- 19.454 </v>
      </c>
      <c r="J92" t="str">
        <f t="shared" ca="1" si="18"/>
        <v>E</v>
      </c>
      <c r="K92" t="str">
        <f t="shared" ca="1" si="19"/>
        <v>qqqq</v>
      </c>
      <c r="L92" t="str">
        <f t="shared" ca="1" si="20"/>
        <v>90- 28- 19.454 qqqqE</v>
      </c>
      <c r="M92" t="str">
        <f t="shared" ca="1" si="21"/>
        <v>90- 28- 19.454 qqqqE</v>
      </c>
      <c r="N92">
        <f t="shared" ca="1" si="22"/>
        <v>23.708701388888887</v>
      </c>
      <c r="O92">
        <f t="shared" ca="1" si="23"/>
        <v>90.472070555555561</v>
      </c>
    </row>
    <row r="93" spans="1:15" x14ac:dyDescent="0.3">
      <c r="A93" t="s">
        <v>2083</v>
      </c>
      <c r="B93" t="str">
        <f t="shared" ca="1" si="12"/>
        <v>2</v>
      </c>
      <c r="C93" t="str">
        <f t="shared" ca="1" si="13"/>
        <v>3- 4- 31.900 N</v>
      </c>
      <c r="D93" t="str">
        <f t="shared" ca="1" si="14"/>
        <v>XX</v>
      </c>
      <c r="E93" t="str">
        <f t="shared" ca="1" si="15"/>
        <v>2XX3- 4- 31.900 N</v>
      </c>
      <c r="F93" t="str">
        <f t="shared" ca="1" si="16"/>
        <v>2XX3- 4- 31.900 N</v>
      </c>
      <c r="H93" t="s">
        <v>2577</v>
      </c>
      <c r="I93" t="str">
        <f t="shared" ca="1" si="17"/>
        <v>90- 28- 54.</v>
      </c>
      <c r="J93" t="str">
        <f t="shared" ca="1" si="18"/>
        <v>735 E</v>
      </c>
      <c r="K93" t="str">
        <f t="shared" ca="1" si="19"/>
        <v>T</v>
      </c>
      <c r="L93" t="str">
        <f t="shared" ca="1" si="20"/>
        <v>90- 28- 54.T735 E</v>
      </c>
      <c r="M93" t="str">
        <f t="shared" ca="1" si="21"/>
        <v>90- 28- 54.T735 E</v>
      </c>
      <c r="N93">
        <f t="shared" ca="1" si="22"/>
        <v>23.075527777777779</v>
      </c>
      <c r="O93">
        <f t="shared" ca="1" si="23"/>
        <v>90.481870833333332</v>
      </c>
    </row>
    <row r="94" spans="1:15" x14ac:dyDescent="0.3">
      <c r="A94" t="s">
        <v>2084</v>
      </c>
      <c r="B94" t="str">
        <f t="shared" ca="1" si="12"/>
        <v xml:space="preserve">23- 42- </v>
      </c>
      <c r="C94" t="str">
        <f t="shared" ca="1" si="13"/>
        <v>32.474 N</v>
      </c>
      <c r="D94" t="str">
        <f t="shared" ca="1" si="14"/>
        <v>EEEEE</v>
      </c>
      <c r="E94" t="str">
        <f t="shared" ca="1" si="15"/>
        <v>23- 42- EEEEE32.474 N</v>
      </c>
      <c r="F94" t="str">
        <f t="shared" ca="1" si="16"/>
        <v>23- 42- EEEEE32.474 N</v>
      </c>
      <c r="H94" t="s">
        <v>2578</v>
      </c>
      <c r="I94" t="str">
        <f t="shared" ca="1" si="17"/>
        <v>90- 29- 30.017</v>
      </c>
      <c r="J94" t="str">
        <f t="shared" ca="1" si="18"/>
        <v xml:space="preserve"> E</v>
      </c>
      <c r="K94" t="str">
        <f t="shared" ca="1" si="19"/>
        <v>C</v>
      </c>
      <c r="L94" t="str">
        <f t="shared" ca="1" si="20"/>
        <v>90- 29- 30.017C E</v>
      </c>
      <c r="M94" t="str">
        <f t="shared" ca="1" si="21"/>
        <v>90- 29- 30.017C E</v>
      </c>
      <c r="N94">
        <f t="shared" ca="1" si="22"/>
        <v>23.709020555555554</v>
      </c>
      <c r="O94">
        <f t="shared" ca="1" si="23"/>
        <v>90.491671388888889</v>
      </c>
    </row>
    <row r="95" spans="1:15" x14ac:dyDescent="0.3">
      <c r="A95" t="s">
        <v>2085</v>
      </c>
      <c r="B95" t="str">
        <f t="shared" ca="1" si="12"/>
        <v>23- 42- 33.0</v>
      </c>
      <c r="C95" t="str">
        <f t="shared" ca="1" si="13"/>
        <v>45 N</v>
      </c>
      <c r="D95" t="str">
        <f t="shared" ca="1" si="14"/>
        <v>PP</v>
      </c>
      <c r="E95" t="str">
        <f t="shared" ca="1" si="15"/>
        <v>23- 42- 33.0PP45 N</v>
      </c>
      <c r="F95" t="str">
        <f t="shared" ca="1" si="16"/>
        <v>23- 42- 33.0PP45 N</v>
      </c>
      <c r="H95" t="s">
        <v>2579</v>
      </c>
      <c r="I95" t="str">
        <f t="shared" ca="1" si="17"/>
        <v>90- 30- 5.</v>
      </c>
      <c r="J95" t="str">
        <f t="shared" ca="1" si="18"/>
        <v>298 E</v>
      </c>
      <c r="K95" t="str">
        <f t="shared" ca="1" si="19"/>
        <v>ZZZ</v>
      </c>
      <c r="L95" t="str">
        <f t="shared" ca="1" si="20"/>
        <v>90- 30- 5.ZZZ298 E</v>
      </c>
      <c r="M95" t="str">
        <f t="shared" ca="1" si="21"/>
        <v>90- 30- 5.ZZZ298 E</v>
      </c>
      <c r="N95">
        <f t="shared" ca="1" si="22"/>
        <v>23.709179166666665</v>
      </c>
      <c r="O95">
        <f t="shared" ca="1" si="23"/>
        <v>90.50147166666666</v>
      </c>
    </row>
    <row r="96" spans="1:15" x14ac:dyDescent="0.3">
      <c r="A96" t="s">
        <v>2086</v>
      </c>
      <c r="B96" t="str">
        <f t="shared" ca="1" si="12"/>
        <v>23- 42- 33.6</v>
      </c>
      <c r="C96" t="str">
        <f t="shared" ca="1" si="13"/>
        <v>14 N</v>
      </c>
      <c r="D96" t="str">
        <f t="shared" ca="1" si="14"/>
        <v>yyyy</v>
      </c>
      <c r="E96" t="str">
        <f t="shared" ca="1" si="15"/>
        <v>23- 42- 33.6yyyy14 N</v>
      </c>
      <c r="F96" t="str">
        <f t="shared" ca="1" si="16"/>
        <v>23- 42- 33.6yyyy14 N</v>
      </c>
      <c r="H96" t="s">
        <v>2580</v>
      </c>
      <c r="I96" t="str">
        <f t="shared" ca="1" si="17"/>
        <v>90- 30-</v>
      </c>
      <c r="J96" t="str">
        <f t="shared" ca="1" si="18"/>
        <v xml:space="preserve"> 40.580 E</v>
      </c>
      <c r="K96" t="str">
        <f t="shared" ca="1" si="19"/>
        <v>EEE</v>
      </c>
      <c r="L96" t="str">
        <f t="shared" ca="1" si="20"/>
        <v>90- 30-EEE 40.580 E</v>
      </c>
      <c r="M96" t="str">
        <f t="shared" ca="1" si="21"/>
        <v>90- 30-EEE 40.580 E</v>
      </c>
      <c r="N96">
        <f t="shared" ca="1" si="22"/>
        <v>23.709337222222221</v>
      </c>
      <c r="O96">
        <f t="shared" ca="1" si="23"/>
        <v>90.511272222222217</v>
      </c>
    </row>
    <row r="97" spans="1:15" x14ac:dyDescent="0.3">
      <c r="A97" t="s">
        <v>2087</v>
      </c>
      <c r="B97" t="str">
        <f t="shared" ca="1" si="12"/>
        <v xml:space="preserve">23- 42- </v>
      </c>
      <c r="C97" t="str">
        <f t="shared" ca="1" si="13"/>
        <v>55.515 N</v>
      </c>
      <c r="D97" t="str">
        <f t="shared" ca="1" si="14"/>
        <v>xxxxx</v>
      </c>
      <c r="E97" t="str">
        <f t="shared" ca="1" si="15"/>
        <v>23- 42- xxxxx55.515 N</v>
      </c>
      <c r="F97" t="str">
        <f t="shared" ca="1" si="16"/>
        <v>23- 42- xxxxx55.515 N</v>
      </c>
      <c r="H97" t="s">
        <v>2581</v>
      </c>
      <c r="I97" t="str">
        <f t="shared" ca="1" si="17"/>
        <v>90- 20- 4.894</v>
      </c>
      <c r="J97" t="str">
        <f t="shared" ca="1" si="18"/>
        <v xml:space="preserve"> E</v>
      </c>
      <c r="K97" t="str">
        <f t="shared" ca="1" si="19"/>
        <v>VVV</v>
      </c>
      <c r="L97" t="str">
        <f t="shared" ca="1" si="20"/>
        <v>90- 20- 4.894VVV E</v>
      </c>
      <c r="M97" t="str">
        <f t="shared" ca="1" si="21"/>
        <v>90- 20- 4.894VVV E</v>
      </c>
      <c r="N97">
        <f t="shared" ca="1" si="22"/>
        <v>23.715420833333333</v>
      </c>
      <c r="O97">
        <f t="shared" ca="1" si="23"/>
        <v>90.334692777777775</v>
      </c>
    </row>
    <row r="98" spans="1:15" x14ac:dyDescent="0.3">
      <c r="A98" t="s">
        <v>2088</v>
      </c>
      <c r="B98" t="str">
        <f t="shared" ca="1" si="12"/>
        <v>23- 42- 56.12</v>
      </c>
      <c r="C98" t="str">
        <f t="shared" ca="1" si="13"/>
        <v>2 N</v>
      </c>
      <c r="D98" t="str">
        <f t="shared" ca="1" si="14"/>
        <v>iiii</v>
      </c>
      <c r="E98" t="str">
        <f t="shared" ca="1" si="15"/>
        <v>23- 42- 56.12iiii2 N</v>
      </c>
      <c r="F98" t="str">
        <f t="shared" ca="1" si="16"/>
        <v>23- 42- 56.12iiii2 N</v>
      </c>
      <c r="H98" t="s">
        <v>2582</v>
      </c>
      <c r="I98" t="str">
        <f t="shared" ca="1" si="17"/>
        <v>90- 20</v>
      </c>
      <c r="J98" t="str">
        <f t="shared" ca="1" si="18"/>
        <v>- 40.173 E</v>
      </c>
      <c r="K98" t="str">
        <f t="shared" ca="1" si="19"/>
        <v>wwwww</v>
      </c>
      <c r="L98" t="str">
        <f t="shared" ca="1" si="20"/>
        <v>90- 20wwwww- 40.173 E</v>
      </c>
      <c r="M98" t="str">
        <f t="shared" ca="1" si="21"/>
        <v>90- 20wwwww- 40.173 E</v>
      </c>
      <c r="N98">
        <f t="shared" ca="1" si="22"/>
        <v>23.715589444444444</v>
      </c>
      <c r="O98">
        <f t="shared" ca="1" si="23"/>
        <v>90.344492500000001</v>
      </c>
    </row>
    <row r="99" spans="1:15" x14ac:dyDescent="0.3">
      <c r="A99" t="s">
        <v>2089</v>
      </c>
      <c r="B99" t="str">
        <f t="shared" ca="1" si="12"/>
        <v>23- 42-</v>
      </c>
      <c r="C99" t="str">
        <f t="shared" ca="1" si="13"/>
        <v xml:space="preserve"> 56.726 N</v>
      </c>
      <c r="D99" t="str">
        <f t="shared" ca="1" si="14"/>
        <v>\</v>
      </c>
      <c r="E99" t="str">
        <f t="shared" ca="1" si="15"/>
        <v>23- 42-\ 56.726 N</v>
      </c>
      <c r="F99" t="str">
        <f t="shared" ca="1" si="16"/>
        <v>23- 42-\ 56.726 N</v>
      </c>
      <c r="H99" t="s">
        <v>2583</v>
      </c>
      <c r="I99" t="str">
        <f t="shared" ca="1" si="17"/>
        <v>90- 21- 15.45</v>
      </c>
      <c r="J99" t="str">
        <f t="shared" ca="1" si="18"/>
        <v>2 E</v>
      </c>
      <c r="K99" t="str">
        <f t="shared" ca="1" si="19"/>
        <v>aa</v>
      </c>
      <c r="L99" t="str">
        <f t="shared" ca="1" si="20"/>
        <v>90- 21- 15.45aa2 E</v>
      </c>
      <c r="M99" t="str">
        <f t="shared" ca="1" si="21"/>
        <v>90- 21- 15.45aa2 E</v>
      </c>
      <c r="N99">
        <f t="shared" ca="1" si="22"/>
        <v>23.715757222222223</v>
      </c>
      <c r="O99">
        <f t="shared" ca="1" si="23"/>
        <v>90.354292222222213</v>
      </c>
    </row>
    <row r="100" spans="1:15" x14ac:dyDescent="0.3">
      <c r="A100" t="s">
        <v>2090</v>
      </c>
      <c r="B100" t="str">
        <f t="shared" ca="1" si="12"/>
        <v>23- 42- 57.</v>
      </c>
      <c r="C100" t="str">
        <f t="shared" ca="1" si="13"/>
        <v>329 N</v>
      </c>
      <c r="D100" t="str">
        <f t="shared" ca="1" si="14"/>
        <v>bbbb</v>
      </c>
      <c r="E100" t="str">
        <f t="shared" ca="1" si="15"/>
        <v>23- 42- 57.bbbb329 N</v>
      </c>
      <c r="F100" t="str">
        <f t="shared" ca="1" si="16"/>
        <v>23- 42- 57.bbbb329 N</v>
      </c>
      <c r="H100" t="s">
        <v>2584</v>
      </c>
      <c r="I100" t="str">
        <f t="shared" ca="1" si="17"/>
        <v xml:space="preserve">90- 21- </v>
      </c>
      <c r="J100" t="str">
        <f t="shared" ca="1" si="18"/>
        <v>50.732 E</v>
      </c>
      <c r="K100" t="str">
        <f t="shared" ca="1" si="19"/>
        <v>J</v>
      </c>
      <c r="L100" t="str">
        <f t="shared" ca="1" si="20"/>
        <v>90- 21- J50.732 E</v>
      </c>
      <c r="M100" t="str">
        <f t="shared" ca="1" si="21"/>
        <v>90- 21- J50.732 E</v>
      </c>
      <c r="N100">
        <f t="shared" ca="1" si="22"/>
        <v>23.715924722222223</v>
      </c>
      <c r="O100">
        <f t="shared" ca="1" si="23"/>
        <v>90.364092222222212</v>
      </c>
    </row>
    <row r="101" spans="1:15" x14ac:dyDescent="0.3">
      <c r="A101" t="s">
        <v>2091</v>
      </c>
      <c r="B101" t="str">
        <f t="shared" ca="1" si="12"/>
        <v>23- 42</v>
      </c>
      <c r="C101" t="str">
        <f t="shared" ca="1" si="13"/>
        <v>- 57.929 N</v>
      </c>
      <c r="D101" t="str">
        <f t="shared" ca="1" si="14"/>
        <v>NNN</v>
      </c>
      <c r="E101" t="str">
        <f t="shared" ca="1" si="15"/>
        <v>23- 42NNN- 57.929 N</v>
      </c>
      <c r="F101" t="str">
        <f t="shared" ca="1" si="16"/>
        <v>23- 42NNN- 57.929 N</v>
      </c>
      <c r="H101" t="s">
        <v>2585</v>
      </c>
      <c r="I101" t="str">
        <f t="shared" ca="1" si="17"/>
        <v>90- 22- 26.011 E</v>
      </c>
      <c r="J101" t="str">
        <f t="shared" ca="1" si="18"/>
        <v/>
      </c>
      <c r="K101" t="str">
        <f t="shared" ca="1" si="19"/>
        <v>____</v>
      </c>
      <c r="L101" t="str">
        <f t="shared" ca="1" si="20"/>
        <v>90- 22- 26.011 E____</v>
      </c>
      <c r="M101" t="str">
        <f t="shared" ca="1" si="21"/>
        <v>90- 22- 26.011 E____</v>
      </c>
      <c r="N101">
        <f t="shared" ca="1" si="22"/>
        <v>23.716091388888888</v>
      </c>
      <c r="O101">
        <f t="shared" ca="1" si="23"/>
        <v>90.373891944444438</v>
      </c>
    </row>
    <row r="102" spans="1:15" x14ac:dyDescent="0.3">
      <c r="A102" t="s">
        <v>2092</v>
      </c>
      <c r="B102" t="str">
        <f t="shared" ca="1" si="12"/>
        <v xml:space="preserve">23- 42- </v>
      </c>
      <c r="C102" t="str">
        <f t="shared" ca="1" si="13"/>
        <v>58.528 N</v>
      </c>
      <c r="D102" t="str">
        <f t="shared" ca="1" si="14"/>
        <v>[[[[</v>
      </c>
      <c r="E102" t="str">
        <f t="shared" ca="1" si="15"/>
        <v>23- 42- [[[[58.528 N</v>
      </c>
      <c r="F102" t="str">
        <f t="shared" ca="1" si="16"/>
        <v>23- 42- [[[[58.528 N</v>
      </c>
      <c r="H102" t="s">
        <v>2586</v>
      </c>
      <c r="I102" t="str">
        <f t="shared" ca="1" si="17"/>
        <v xml:space="preserve">90- 23- 1.292 </v>
      </c>
      <c r="J102" t="str">
        <f t="shared" ca="1" si="18"/>
        <v>E</v>
      </c>
      <c r="K102" t="str">
        <f t="shared" ca="1" si="19"/>
        <v>iii</v>
      </c>
      <c r="L102" t="str">
        <f t="shared" ca="1" si="20"/>
        <v>90- 23- 1.292 iiiE</v>
      </c>
      <c r="M102" t="str">
        <f t="shared" ca="1" si="21"/>
        <v>90- 23- 1.292 iiiE</v>
      </c>
      <c r="N102">
        <f t="shared" ca="1" si="22"/>
        <v>23.716257777777777</v>
      </c>
      <c r="O102">
        <f t="shared" ca="1" si="23"/>
        <v>90.383692222222223</v>
      </c>
    </row>
    <row r="103" spans="1:15" x14ac:dyDescent="0.3">
      <c r="A103" t="s">
        <v>2093</v>
      </c>
      <c r="B103" t="str">
        <f t="shared" ca="1" si="12"/>
        <v>23- 42- 59.1</v>
      </c>
      <c r="C103" t="str">
        <f t="shared" ca="1" si="13"/>
        <v>23 N</v>
      </c>
      <c r="D103" t="str">
        <f t="shared" ca="1" si="14"/>
        <v>JJJJJ</v>
      </c>
      <c r="E103" t="str">
        <f t="shared" ca="1" si="15"/>
        <v>23- 42- 59.1JJJJJ23 N</v>
      </c>
      <c r="F103" t="str">
        <f t="shared" ca="1" si="16"/>
        <v>23- 42- 59.1JJJJJ23 N</v>
      </c>
      <c r="H103" t="s">
        <v>2587</v>
      </c>
      <c r="I103" t="str">
        <f t="shared" ca="1" si="17"/>
        <v>90- 23-</v>
      </c>
      <c r="J103" t="str">
        <f t="shared" ca="1" si="18"/>
        <v xml:space="preserve"> 36.572 E</v>
      </c>
      <c r="K103" t="str">
        <f t="shared" ca="1" si="19"/>
        <v>RRRR</v>
      </c>
      <c r="L103" t="str">
        <f t="shared" ca="1" si="20"/>
        <v>90- 23-RRRR 36.572 E</v>
      </c>
      <c r="M103" t="str">
        <f t="shared" ca="1" si="21"/>
        <v>90- 23-RRRR 36.572 E</v>
      </c>
      <c r="N103">
        <f t="shared" ca="1" si="22"/>
        <v>23.716423055555556</v>
      </c>
      <c r="O103">
        <f t="shared" ca="1" si="23"/>
        <v>90.393492222222235</v>
      </c>
    </row>
    <row r="104" spans="1:15" x14ac:dyDescent="0.3">
      <c r="A104" t="s">
        <v>2094</v>
      </c>
      <c r="B104" t="str">
        <f t="shared" ca="1" si="12"/>
        <v>23</v>
      </c>
      <c r="C104" t="str">
        <f t="shared" ca="1" si="13"/>
        <v>- 42- 59.717 N</v>
      </c>
      <c r="D104" t="str">
        <f t="shared" ca="1" si="14"/>
        <v>^</v>
      </c>
      <c r="E104" t="str">
        <f t="shared" ca="1" si="15"/>
        <v>23^- 42- 59.717 N</v>
      </c>
      <c r="F104" t="str">
        <f t="shared" ca="1" si="16"/>
        <v>23^- 42- 59.717 N</v>
      </c>
      <c r="H104" t="s">
        <v>2588</v>
      </c>
      <c r="I104" t="str">
        <f t="shared" ca="1" si="17"/>
        <v>90- 24</v>
      </c>
      <c r="J104" t="str">
        <f t="shared" ca="1" si="18"/>
        <v>- 11.853 E</v>
      </c>
      <c r="K104" t="str">
        <f t="shared" ca="1" si="19"/>
        <v>LLLLL</v>
      </c>
      <c r="L104" t="str">
        <f t="shared" ca="1" si="20"/>
        <v>90- 24LLLLL- 11.853 E</v>
      </c>
      <c r="M104" t="str">
        <f t="shared" ca="1" si="21"/>
        <v>90- 24LLLLL- 11.853 E</v>
      </c>
      <c r="N104">
        <f t="shared" ca="1" si="22"/>
        <v>23.716588055555555</v>
      </c>
      <c r="O104">
        <f t="shared" ca="1" si="23"/>
        <v>90.403292500000006</v>
      </c>
    </row>
    <row r="105" spans="1:15" x14ac:dyDescent="0.3">
      <c r="A105" t="s">
        <v>2095</v>
      </c>
      <c r="B105" t="str">
        <f t="shared" ca="1" si="12"/>
        <v>2</v>
      </c>
      <c r="C105" t="str">
        <f t="shared" ca="1" si="13"/>
        <v>3- 43- 0.309 N</v>
      </c>
      <c r="D105" t="str">
        <f t="shared" ca="1" si="14"/>
        <v>w</v>
      </c>
      <c r="E105" t="str">
        <f t="shared" ca="1" si="15"/>
        <v>2w3- 43- 0.309 N</v>
      </c>
      <c r="F105" t="str">
        <f t="shared" ca="1" si="16"/>
        <v>2w3- 43- 0.309 N</v>
      </c>
      <c r="H105" t="s">
        <v>2589</v>
      </c>
      <c r="I105" t="str">
        <f t="shared" ca="1" si="17"/>
        <v>90- 24- 47.134 E</v>
      </c>
      <c r="J105" t="str">
        <f t="shared" ca="1" si="18"/>
        <v/>
      </c>
      <c r="K105" t="str">
        <f t="shared" ca="1" si="19"/>
        <v>D</v>
      </c>
      <c r="L105" t="str">
        <f t="shared" ca="1" si="20"/>
        <v>90- 24- 47.134 ED</v>
      </c>
      <c r="M105" t="str">
        <f t="shared" ca="1" si="21"/>
        <v>90- 24- 47.134 ED</v>
      </c>
      <c r="N105">
        <f t="shared" ca="1" si="22"/>
        <v>23.716752499999998</v>
      </c>
      <c r="O105">
        <f t="shared" ca="1" si="23"/>
        <v>90.413092777777777</v>
      </c>
    </row>
    <row r="106" spans="1:15" x14ac:dyDescent="0.3">
      <c r="A106" t="s">
        <v>2096</v>
      </c>
      <c r="B106" t="str">
        <f t="shared" ca="1" si="12"/>
        <v>23- 43- 0</v>
      </c>
      <c r="C106" t="str">
        <f t="shared" ca="1" si="13"/>
        <v>.898 N</v>
      </c>
      <c r="D106" t="str">
        <f t="shared" ca="1" si="14"/>
        <v>jjj</v>
      </c>
      <c r="E106" t="str">
        <f t="shared" ca="1" si="15"/>
        <v>23- 43- 0jjj.898 N</v>
      </c>
      <c r="F106" t="str">
        <f t="shared" ca="1" si="16"/>
        <v>23- 43- 0jjj.898 N</v>
      </c>
      <c r="H106" t="s">
        <v>2590</v>
      </c>
      <c r="I106" t="str">
        <f t="shared" ca="1" si="17"/>
        <v xml:space="preserve">90- 25- 22.416 </v>
      </c>
      <c r="J106" t="str">
        <f t="shared" ca="1" si="18"/>
        <v>E</v>
      </c>
      <c r="K106" t="str">
        <f t="shared" ca="1" si="19"/>
        <v>YYYYY</v>
      </c>
      <c r="L106" t="str">
        <f t="shared" ca="1" si="20"/>
        <v>90- 25- 22.416 YYYYYE</v>
      </c>
      <c r="M106" t="str">
        <f t="shared" ca="1" si="21"/>
        <v>90- 25- 22.416 YYYYYE</v>
      </c>
      <c r="N106">
        <f t="shared" ca="1" si="22"/>
        <v>23.716916111111111</v>
      </c>
      <c r="O106">
        <f t="shared" ca="1" si="23"/>
        <v>90.422893333333334</v>
      </c>
    </row>
    <row r="107" spans="1:15" x14ac:dyDescent="0.3">
      <c r="A107" t="s">
        <v>2097</v>
      </c>
      <c r="B107" t="str">
        <f t="shared" ca="1" si="12"/>
        <v>23- 43- 1.4</v>
      </c>
      <c r="C107" t="str">
        <f t="shared" ca="1" si="13"/>
        <v>85 N</v>
      </c>
      <c r="D107" t="str">
        <f t="shared" ca="1" si="14"/>
        <v>XXXX</v>
      </c>
      <c r="E107" t="str">
        <f t="shared" ca="1" si="15"/>
        <v>23- 43- 1.4XXXX85 N</v>
      </c>
      <c r="F107" t="str">
        <f t="shared" ca="1" si="16"/>
        <v>23- 43- 1.4XXXX85 N</v>
      </c>
      <c r="H107" t="s">
        <v>2591</v>
      </c>
      <c r="I107" t="str">
        <f t="shared" ca="1" si="17"/>
        <v xml:space="preserve">90- </v>
      </c>
      <c r="J107" t="str">
        <f t="shared" ca="1" si="18"/>
        <v>25- 57.698 E</v>
      </c>
      <c r="K107" t="str">
        <f t="shared" ca="1" si="19"/>
        <v>||</v>
      </c>
      <c r="L107" t="str">
        <f t="shared" ca="1" si="20"/>
        <v>90- ||25- 57.698 E</v>
      </c>
      <c r="M107" t="str">
        <f t="shared" ca="1" si="21"/>
        <v>90- ||25- 57.698 E</v>
      </c>
      <c r="N107">
        <f t="shared" ca="1" si="22"/>
        <v>23.717079166666664</v>
      </c>
      <c r="O107">
        <f t="shared" ca="1" si="23"/>
        <v>90.432693888888892</v>
      </c>
    </row>
    <row r="108" spans="1:15" x14ac:dyDescent="0.3">
      <c r="A108" t="s">
        <v>2098</v>
      </c>
      <c r="B108" t="str">
        <f t="shared" ca="1" si="12"/>
        <v xml:space="preserve">23- 43- 2.069 </v>
      </c>
      <c r="C108" t="str">
        <f t="shared" ca="1" si="13"/>
        <v>N</v>
      </c>
      <c r="D108" t="str">
        <f t="shared" ca="1" si="14"/>
        <v>VV</v>
      </c>
      <c r="E108" t="str">
        <f t="shared" ca="1" si="15"/>
        <v>23- 43- 2.069 VVN</v>
      </c>
      <c r="F108" t="str">
        <f t="shared" ca="1" si="16"/>
        <v>23- 43- 2.069 VVN</v>
      </c>
      <c r="H108" t="s">
        <v>2592</v>
      </c>
      <c r="I108" t="str">
        <f t="shared" ca="1" si="17"/>
        <v>9</v>
      </c>
      <c r="J108" t="str">
        <f t="shared" ca="1" si="18"/>
        <v>0- 26- 32.80 E</v>
      </c>
      <c r="K108" t="str">
        <f t="shared" ca="1" si="19"/>
        <v>TTT</v>
      </c>
      <c r="L108" t="str">
        <f t="shared" ca="1" si="20"/>
        <v>9TTT0- 26- 32.80 E</v>
      </c>
      <c r="M108" t="str">
        <f t="shared" ca="1" si="21"/>
        <v>9TTT0- 26- 32.80 E</v>
      </c>
      <c r="N108">
        <f t="shared" ca="1" si="22"/>
        <v>23.717241388888887</v>
      </c>
      <c r="O108">
        <f t="shared" ca="1" si="23"/>
        <v>90.442444444444448</v>
      </c>
    </row>
    <row r="109" spans="1:15" x14ac:dyDescent="0.3">
      <c r="A109" t="s">
        <v>2099</v>
      </c>
      <c r="B109" t="str">
        <f t="shared" ca="1" si="12"/>
        <v>23- 43- 2</v>
      </c>
      <c r="C109" t="str">
        <f t="shared" ca="1" si="13"/>
        <v>.652 N</v>
      </c>
      <c r="D109" t="str">
        <f t="shared" ca="1" si="14"/>
        <v>qqqqq</v>
      </c>
      <c r="E109" t="str">
        <f t="shared" ca="1" si="15"/>
        <v>23- 43- 2qqqqq.652 N</v>
      </c>
      <c r="F109" t="str">
        <f t="shared" ca="1" si="16"/>
        <v>23- 43- 2qqqqq.652 N</v>
      </c>
      <c r="H109" t="s">
        <v>2593</v>
      </c>
      <c r="I109" t="str">
        <f t="shared" ca="1" si="17"/>
        <v>90- 2</v>
      </c>
      <c r="J109" t="str">
        <f t="shared" ca="1" si="18"/>
        <v>7- 8.262 E</v>
      </c>
      <c r="K109" t="str">
        <f t="shared" ca="1" si="19"/>
        <v>OOOOO</v>
      </c>
      <c r="L109" t="str">
        <f t="shared" ca="1" si="20"/>
        <v>90- 2OOOOO7- 8.262 E</v>
      </c>
      <c r="M109" t="str">
        <f t="shared" ca="1" si="21"/>
        <v>90- 2OOOOO7- 8.262 E</v>
      </c>
      <c r="N109">
        <f t="shared" ca="1" si="22"/>
        <v>23.717403333333333</v>
      </c>
      <c r="O109">
        <f t="shared" ca="1" si="23"/>
        <v>90.452295000000007</v>
      </c>
    </row>
    <row r="110" spans="1:15" x14ac:dyDescent="0.3">
      <c r="A110" t="s">
        <v>2100</v>
      </c>
      <c r="B110" t="str">
        <f t="shared" ca="1" si="12"/>
        <v>23- 43- 3.</v>
      </c>
      <c r="C110" t="str">
        <f t="shared" ca="1" si="13"/>
        <v>232 N</v>
      </c>
      <c r="D110" t="str">
        <f t="shared" ca="1" si="14"/>
        <v>WWWWW</v>
      </c>
      <c r="E110" t="str">
        <f t="shared" ca="1" si="15"/>
        <v>23- 43- 3.WWWWW232 N</v>
      </c>
      <c r="F110" t="str">
        <f t="shared" ca="1" si="16"/>
        <v>23- 43- 3.WWWWW232 N</v>
      </c>
      <c r="H110" t="s">
        <v>2594</v>
      </c>
      <c r="I110" t="str">
        <f t="shared" ca="1" si="17"/>
        <v xml:space="preserve">90- 27- </v>
      </c>
      <c r="J110" t="str">
        <f t="shared" ca="1" si="18"/>
        <v>43.545 E</v>
      </c>
      <c r="K110" t="str">
        <f t="shared" ca="1" si="19"/>
        <v>E</v>
      </c>
      <c r="L110" t="str">
        <f t="shared" ca="1" si="20"/>
        <v>90- 27- E43.545 E</v>
      </c>
      <c r="M110" t="str">
        <f t="shared" ca="1" si="21"/>
        <v>90- 27- E43.545 E</v>
      </c>
      <c r="N110">
        <f t="shared" ca="1" si="22"/>
        <v>23.717564444444442</v>
      </c>
      <c r="O110">
        <f t="shared" ca="1" si="23"/>
        <v>90.462095833333336</v>
      </c>
    </row>
    <row r="111" spans="1:15" x14ac:dyDescent="0.3">
      <c r="A111" t="s">
        <v>2101</v>
      </c>
      <c r="B111" t="str">
        <f t="shared" ca="1" si="12"/>
        <v>23- 43-</v>
      </c>
      <c r="C111" t="str">
        <f t="shared" ca="1" si="13"/>
        <v xml:space="preserve"> 3.810 N</v>
      </c>
      <c r="D111" t="str">
        <f t="shared" ca="1" si="14"/>
        <v>NNNN</v>
      </c>
      <c r="E111" t="str">
        <f t="shared" ca="1" si="15"/>
        <v>23- 43-NNNN 3.810 N</v>
      </c>
      <c r="F111" t="str">
        <f t="shared" ca="1" si="16"/>
        <v>23- 43-NNNN 3.810 N</v>
      </c>
      <c r="H111" t="s">
        <v>2595</v>
      </c>
      <c r="I111" t="str">
        <f t="shared" ca="1" si="17"/>
        <v>90- 28- 18.82</v>
      </c>
      <c r="J111" t="str">
        <f t="shared" ca="1" si="18"/>
        <v>8 E</v>
      </c>
      <c r="K111" t="str">
        <f t="shared" ca="1" si="19"/>
        <v>AA</v>
      </c>
      <c r="L111" t="str">
        <f t="shared" ca="1" si="20"/>
        <v>90- 28- 18.82AA8 E</v>
      </c>
      <c r="M111" t="str">
        <f t="shared" ca="1" si="21"/>
        <v>90- 28- 18.82AA8 E</v>
      </c>
      <c r="N111">
        <f t="shared" ca="1" si="22"/>
        <v>23.717724999999998</v>
      </c>
      <c r="O111">
        <f t="shared" ca="1" si="23"/>
        <v>90.471896666666666</v>
      </c>
    </row>
    <row r="112" spans="1:15" x14ac:dyDescent="0.3">
      <c r="A112" t="s">
        <v>2102</v>
      </c>
      <c r="B112" t="str">
        <f t="shared" ca="1" si="12"/>
        <v>23- 43- 4.386</v>
      </c>
      <c r="C112" t="str">
        <f t="shared" ca="1" si="13"/>
        <v xml:space="preserve"> N</v>
      </c>
      <c r="D112" t="str">
        <f t="shared" ca="1" si="14"/>
        <v>OOO</v>
      </c>
      <c r="E112" t="str">
        <f t="shared" ca="1" si="15"/>
        <v>23- 43- 4.386OOO N</v>
      </c>
      <c r="F112" t="str">
        <f t="shared" ca="1" si="16"/>
        <v>23- 43- 4.386OOO N</v>
      </c>
      <c r="H112" t="s">
        <v>2596</v>
      </c>
      <c r="I112" t="str">
        <f t="shared" ca="1" si="17"/>
        <v>90- 28- 54</v>
      </c>
      <c r="J112" t="str">
        <f t="shared" ca="1" si="18"/>
        <v>.111 E</v>
      </c>
      <c r="K112" t="str">
        <f t="shared" ca="1" si="19"/>
        <v>ccc</v>
      </c>
      <c r="L112" t="str">
        <f t="shared" ca="1" si="20"/>
        <v>90- 28- 54ccc.111 E</v>
      </c>
      <c r="M112" t="str">
        <f t="shared" ca="1" si="21"/>
        <v>90- 28- 54ccc.111 E</v>
      </c>
      <c r="N112">
        <f t="shared" ca="1" si="22"/>
        <v>23.717884999999999</v>
      </c>
      <c r="O112">
        <f t="shared" ca="1" si="23"/>
        <v>90.481697499999996</v>
      </c>
    </row>
    <row r="113" spans="1:15" x14ac:dyDescent="0.3">
      <c r="A113" t="s">
        <v>2103</v>
      </c>
      <c r="B113" t="str">
        <f t="shared" ca="1" si="12"/>
        <v>23- 43- 4.96</v>
      </c>
      <c r="C113" t="str">
        <f t="shared" ca="1" si="13"/>
        <v>0 N</v>
      </c>
      <c r="D113" t="str">
        <f t="shared" ca="1" si="14"/>
        <v>CCCCC</v>
      </c>
      <c r="E113" t="str">
        <f t="shared" ca="1" si="15"/>
        <v>23- 43- 4.96CCCCC0 N</v>
      </c>
      <c r="F113" t="str">
        <f t="shared" ca="1" si="16"/>
        <v>23- 43- 4.96CCCCC0 N</v>
      </c>
      <c r="H113" t="s">
        <v>2597</v>
      </c>
      <c r="I113" t="str">
        <f t="shared" ca="1" si="17"/>
        <v>90- 29</v>
      </c>
      <c r="J113" t="str">
        <f t="shared" ca="1" si="18"/>
        <v>- 29.395 E</v>
      </c>
      <c r="K113" t="str">
        <f t="shared" ca="1" si="19"/>
        <v>T</v>
      </c>
      <c r="L113" t="str">
        <f t="shared" ca="1" si="20"/>
        <v>90- 29T- 29.395 E</v>
      </c>
      <c r="M113" t="str">
        <f t="shared" ca="1" si="21"/>
        <v>90- 29T- 29.395 E</v>
      </c>
      <c r="N113">
        <f t="shared" ca="1" si="22"/>
        <v>23.718044444444441</v>
      </c>
      <c r="O113">
        <f t="shared" ca="1" si="23"/>
        <v>90.491498611111112</v>
      </c>
    </row>
    <row r="114" spans="1:15" x14ac:dyDescent="0.3">
      <c r="A114" t="s">
        <v>2104</v>
      </c>
      <c r="B114" t="str">
        <f t="shared" ca="1" si="12"/>
        <v>23- 43-</v>
      </c>
      <c r="C114" t="str">
        <f t="shared" ca="1" si="13"/>
        <v xml:space="preserve"> 5.531 N</v>
      </c>
      <c r="D114" t="str">
        <f t="shared" ca="1" si="14"/>
        <v></v>
      </c>
      <c r="E114" t="str">
        <f t="shared" ca="1" si="15"/>
        <v>23- 43- 5.531 N</v>
      </c>
      <c r="F114" t="str">
        <f t="shared" ca="1" si="16"/>
        <v>23- 43- 5.531 N</v>
      </c>
      <c r="H114" t="s">
        <v>2598</v>
      </c>
      <c r="I114" t="str">
        <f t="shared" ca="1" si="17"/>
        <v>90- 30- 4.</v>
      </c>
      <c r="J114" t="str">
        <f t="shared" ca="1" si="18"/>
        <v>679 E</v>
      </c>
      <c r="K114" t="str">
        <f t="shared" ca="1" si="19"/>
        <v>www</v>
      </c>
      <c r="L114" t="str">
        <f t="shared" ca="1" si="20"/>
        <v>90- 30- 4.www679 E</v>
      </c>
      <c r="M114" t="str">
        <f t="shared" ca="1" si="21"/>
        <v>90- 30- 4.www679 E</v>
      </c>
      <c r="N114">
        <f t="shared" ca="1" si="22"/>
        <v>23.718203055555556</v>
      </c>
      <c r="O114">
        <f t="shared" ca="1" si="23"/>
        <v>90.501299722222228</v>
      </c>
    </row>
    <row r="115" spans="1:15" x14ac:dyDescent="0.3">
      <c r="A115" t="s">
        <v>2105</v>
      </c>
      <c r="B115" t="str">
        <f t="shared" ca="1" si="12"/>
        <v>23-</v>
      </c>
      <c r="C115" t="str">
        <f t="shared" ca="1" si="13"/>
        <v xml:space="preserve"> 43- 6.100 N</v>
      </c>
      <c r="D115" t="str">
        <f t="shared" ca="1" si="14"/>
        <v>kkkk</v>
      </c>
      <c r="E115" t="str">
        <f t="shared" ca="1" si="15"/>
        <v>23-kkkk 43- 6.100 N</v>
      </c>
      <c r="F115" t="str">
        <f t="shared" ca="1" si="16"/>
        <v>23-kkkk 43- 6.100 N</v>
      </c>
      <c r="H115" t="s">
        <v>2599</v>
      </c>
      <c r="I115" t="str">
        <f t="shared" ca="1" si="17"/>
        <v>90- 30- 39.963</v>
      </c>
      <c r="J115" t="str">
        <f t="shared" ca="1" si="18"/>
        <v xml:space="preserve"> E</v>
      </c>
      <c r="K115" t="str">
        <f t="shared" ca="1" si="19"/>
        <v>qqqq</v>
      </c>
      <c r="L115" t="str">
        <f t="shared" ca="1" si="20"/>
        <v>90- 30- 39.963qqqq E</v>
      </c>
      <c r="M115" t="str">
        <f t="shared" ca="1" si="21"/>
        <v>90- 30- 39.963qqqq E</v>
      </c>
      <c r="N115">
        <f t="shared" ca="1" si="22"/>
        <v>23.718361111111111</v>
      </c>
      <c r="O115">
        <f t="shared" ca="1" si="23"/>
        <v>90.51110083333333</v>
      </c>
    </row>
    <row r="116" spans="1:15" x14ac:dyDescent="0.3">
      <c r="A116" t="s">
        <v>2106</v>
      </c>
      <c r="B116" t="str">
        <f t="shared" ca="1" si="12"/>
        <v>23- 43- 27.997</v>
      </c>
      <c r="C116" t="str">
        <f t="shared" ca="1" si="13"/>
        <v xml:space="preserve"> N</v>
      </c>
      <c r="D116" t="str">
        <f t="shared" ca="1" si="14"/>
        <v>nn</v>
      </c>
      <c r="E116" t="str">
        <f t="shared" ca="1" si="15"/>
        <v>23- 43- 27.997nn N</v>
      </c>
      <c r="F116" t="str">
        <f t="shared" ca="1" si="16"/>
        <v>23- 43- 27.997nn N</v>
      </c>
      <c r="H116" t="s">
        <v>2600</v>
      </c>
      <c r="I116" t="str">
        <f t="shared" ca="1" si="17"/>
        <v>90- 20- 4.</v>
      </c>
      <c r="J116" t="str">
        <f t="shared" ca="1" si="18"/>
        <v>233 E</v>
      </c>
      <c r="K116" t="str">
        <f t="shared" ca="1" si="19"/>
        <v>ffff</v>
      </c>
      <c r="L116" t="str">
        <f t="shared" ca="1" si="20"/>
        <v>90- 20- 4.ffff233 E</v>
      </c>
      <c r="M116" t="str">
        <f t="shared" ca="1" si="21"/>
        <v>90- 20- 4.ffff233 E</v>
      </c>
      <c r="N116">
        <f t="shared" ca="1" si="22"/>
        <v>23.724443611111109</v>
      </c>
      <c r="O116">
        <f t="shared" ca="1" si="23"/>
        <v>90.334509166666663</v>
      </c>
    </row>
    <row r="117" spans="1:15" x14ac:dyDescent="0.3">
      <c r="A117" t="s">
        <v>2107</v>
      </c>
      <c r="B117" t="str">
        <f t="shared" ca="1" si="12"/>
        <v>23- 43-</v>
      </c>
      <c r="C117" t="str">
        <f t="shared" ca="1" si="13"/>
        <v xml:space="preserve"> 28.604 N</v>
      </c>
      <c r="D117" t="str">
        <f t="shared" ca="1" si="14"/>
        <v>Z</v>
      </c>
      <c r="E117" t="str">
        <f t="shared" ca="1" si="15"/>
        <v>23- 43-Z 28.604 N</v>
      </c>
      <c r="F117" t="str">
        <f t="shared" ca="1" si="16"/>
        <v>23- 43-Z 28.604 N</v>
      </c>
      <c r="H117" t="s">
        <v>2601</v>
      </c>
      <c r="I117" t="str">
        <f t="shared" ca="1" si="17"/>
        <v xml:space="preserve">90- 20- 39.514 </v>
      </c>
      <c r="J117" t="str">
        <f t="shared" ca="1" si="18"/>
        <v>E</v>
      </c>
      <c r="K117" t="str">
        <f t="shared" ca="1" si="19"/>
        <v>CC</v>
      </c>
      <c r="L117" t="str">
        <f t="shared" ca="1" si="20"/>
        <v>90- 20- 39.514 CCE</v>
      </c>
      <c r="M117" t="str">
        <f t="shared" ca="1" si="21"/>
        <v>90- 20- 39.514 CCE</v>
      </c>
      <c r="N117">
        <f t="shared" ca="1" si="22"/>
        <v>23.72461222222222</v>
      </c>
      <c r="O117">
        <f t="shared" ca="1" si="23"/>
        <v>90.344309444444434</v>
      </c>
    </row>
    <row r="118" spans="1:15" x14ac:dyDescent="0.3">
      <c r="A118" t="s">
        <v>2108</v>
      </c>
      <c r="B118" t="str">
        <f t="shared" ca="1" si="12"/>
        <v>23-</v>
      </c>
      <c r="C118" t="str">
        <f t="shared" ca="1" si="13"/>
        <v xml:space="preserve"> 43- 29.209 N</v>
      </c>
      <c r="D118" t="str">
        <f t="shared" ca="1" si="14"/>
        <v>PP</v>
      </c>
      <c r="E118" t="str">
        <f t="shared" ca="1" si="15"/>
        <v>23-PP 43- 29.209 N</v>
      </c>
      <c r="F118" t="str">
        <f t="shared" ca="1" si="16"/>
        <v>23-PP 43- 29.209 N</v>
      </c>
      <c r="H118" t="s">
        <v>2602</v>
      </c>
      <c r="I118" t="str">
        <f t="shared" ca="1" si="17"/>
        <v>90- 21- 14.79</v>
      </c>
      <c r="J118" t="str">
        <f t="shared" ca="1" si="18"/>
        <v>6 E</v>
      </c>
      <c r="K118" t="str">
        <f t="shared" ca="1" si="19"/>
        <v>gg</v>
      </c>
      <c r="L118" t="str">
        <f t="shared" ca="1" si="20"/>
        <v>90- 21- 14.79gg6 E</v>
      </c>
      <c r="M118" t="str">
        <f t="shared" ca="1" si="21"/>
        <v>90- 21- 14.79gg6 E</v>
      </c>
      <c r="N118">
        <f t="shared" ca="1" si="22"/>
        <v>23.724780277777775</v>
      </c>
      <c r="O118">
        <f t="shared" ca="1" si="23"/>
        <v>90.354109999999991</v>
      </c>
    </row>
    <row r="119" spans="1:15" x14ac:dyDescent="0.3">
      <c r="A119" t="s">
        <v>2109</v>
      </c>
      <c r="B119" t="str">
        <f t="shared" ca="1" si="12"/>
        <v>23- 4</v>
      </c>
      <c r="C119" t="str">
        <f t="shared" ca="1" si="13"/>
        <v>3- 29.812 N</v>
      </c>
      <c r="D119" t="str">
        <f t="shared" ca="1" si="14"/>
        <v>m</v>
      </c>
      <c r="E119" t="str">
        <f t="shared" ca="1" si="15"/>
        <v>23- 4m3- 29.812 N</v>
      </c>
      <c r="F119" t="str">
        <f t="shared" ca="1" si="16"/>
        <v>23- 4m3- 29.812 N</v>
      </c>
      <c r="H119" t="s">
        <v>2603</v>
      </c>
      <c r="I119" t="str">
        <f t="shared" ca="1" si="17"/>
        <v>9</v>
      </c>
      <c r="J119" t="str">
        <f t="shared" ca="1" si="18"/>
        <v>0- 21- 50.078 E</v>
      </c>
      <c r="K119" t="str">
        <f t="shared" ca="1" si="19"/>
        <v>XXXXX</v>
      </c>
      <c r="L119" t="str">
        <f t="shared" ca="1" si="20"/>
        <v>9XXXXX0- 21- 50.078 E</v>
      </c>
      <c r="M119" t="str">
        <f t="shared" ca="1" si="21"/>
        <v>9XXXXX0- 21- 50.078 E</v>
      </c>
      <c r="N119">
        <f t="shared" ca="1" si="22"/>
        <v>23.724947777777775</v>
      </c>
      <c r="O119">
        <f t="shared" ca="1" si="23"/>
        <v>90.363910555555549</v>
      </c>
    </row>
    <row r="120" spans="1:15" x14ac:dyDescent="0.3">
      <c r="A120" t="s">
        <v>2110</v>
      </c>
      <c r="B120" t="str">
        <f t="shared" ca="1" si="12"/>
        <v>23- 43- 30.41</v>
      </c>
      <c r="C120" t="str">
        <f t="shared" ca="1" si="13"/>
        <v>3 N</v>
      </c>
      <c r="D120" t="str">
        <f t="shared" ca="1" si="14"/>
        <v>nnn</v>
      </c>
      <c r="E120" t="str">
        <f t="shared" ca="1" si="15"/>
        <v>23- 43- 30.41nnn3 N</v>
      </c>
      <c r="F120" t="str">
        <f t="shared" ca="1" si="16"/>
        <v>23- 43- 30.41nnn3 N</v>
      </c>
      <c r="H120" t="s">
        <v>2604</v>
      </c>
      <c r="I120" t="str">
        <f t="shared" ca="1" si="17"/>
        <v>90- 22-</v>
      </c>
      <c r="J120" t="str">
        <f t="shared" ca="1" si="18"/>
        <v xml:space="preserve"> 25.360 E</v>
      </c>
      <c r="K120" t="str">
        <f t="shared" ca="1" si="19"/>
        <v>ii</v>
      </c>
      <c r="L120" t="str">
        <f t="shared" ca="1" si="20"/>
        <v>90- 22-ii 25.360 E</v>
      </c>
      <c r="M120" t="str">
        <f t="shared" ca="1" si="21"/>
        <v>90- 22-ii 25.360 E</v>
      </c>
      <c r="N120">
        <f t="shared" ca="1" si="22"/>
        <v>23.725114722222219</v>
      </c>
      <c r="O120">
        <f t="shared" ca="1" si="23"/>
        <v>90.373711111111106</v>
      </c>
    </row>
    <row r="121" spans="1:15" x14ac:dyDescent="0.3">
      <c r="A121" t="s">
        <v>2111</v>
      </c>
      <c r="B121" t="str">
        <f t="shared" ca="1" si="12"/>
        <v>23</v>
      </c>
      <c r="C121" t="str">
        <f t="shared" ca="1" si="13"/>
        <v>- 43- 31.011 N</v>
      </c>
      <c r="D121" t="str">
        <f t="shared" ca="1" si="14"/>
        <v>iii</v>
      </c>
      <c r="E121" t="str">
        <f t="shared" ca="1" si="15"/>
        <v>23iii- 43- 31.011 N</v>
      </c>
      <c r="F121" t="str">
        <f t="shared" ca="1" si="16"/>
        <v>23iii- 43- 31.011 N</v>
      </c>
      <c r="H121" t="s">
        <v>2605</v>
      </c>
      <c r="I121" t="str">
        <f t="shared" ca="1" si="17"/>
        <v>90- 23- 0.6</v>
      </c>
      <c r="J121" t="str">
        <f t="shared" ca="1" si="18"/>
        <v>43 E</v>
      </c>
      <c r="K121" t="str">
        <f t="shared" ca="1" si="19"/>
        <v>lllll</v>
      </c>
      <c r="L121" t="str">
        <f t="shared" ca="1" si="20"/>
        <v>90- 23- 0.6lllll43 E</v>
      </c>
      <c r="M121" t="str">
        <f t="shared" ca="1" si="21"/>
        <v>90- 23- 0.6lllll43 E</v>
      </c>
      <c r="N121">
        <f t="shared" ca="1" si="22"/>
        <v>23.725280833333333</v>
      </c>
      <c r="O121">
        <f t="shared" ca="1" si="23"/>
        <v>90.38351194444445</v>
      </c>
    </row>
    <row r="122" spans="1:15" x14ac:dyDescent="0.3">
      <c r="A122" t="s">
        <v>2112</v>
      </c>
      <c r="B122" t="str">
        <f t="shared" ca="1" si="12"/>
        <v xml:space="preserve">23- </v>
      </c>
      <c r="C122" t="str">
        <f t="shared" ca="1" si="13"/>
        <v>43- 31.607 N</v>
      </c>
      <c r="D122" t="str">
        <f t="shared" ca="1" si="14"/>
        <v>gg</v>
      </c>
      <c r="E122" t="str">
        <f t="shared" ca="1" si="15"/>
        <v>23- gg43- 31.607 N</v>
      </c>
      <c r="F122" t="str">
        <f t="shared" ca="1" si="16"/>
        <v>23- gg43- 31.607 N</v>
      </c>
      <c r="H122" t="s">
        <v>2606</v>
      </c>
      <c r="I122" t="str">
        <f t="shared" ca="1" si="17"/>
        <v>90- 23- 35.9</v>
      </c>
      <c r="J122" t="str">
        <f t="shared" ca="1" si="18"/>
        <v>26 E</v>
      </c>
      <c r="K122" t="str">
        <f t="shared" ca="1" si="19"/>
        <v>uuuu</v>
      </c>
      <c r="L122" t="str">
        <f t="shared" ca="1" si="20"/>
        <v>90- 23- 35.9uuuu26 E</v>
      </c>
      <c r="M122" t="str">
        <f t="shared" ca="1" si="21"/>
        <v>90- 23- 35.9uuuu26 E</v>
      </c>
      <c r="N122">
        <f t="shared" ca="1" si="22"/>
        <v>23.725446388888887</v>
      </c>
      <c r="O122">
        <f t="shared" ca="1" si="23"/>
        <v>90.39331277777778</v>
      </c>
    </row>
    <row r="123" spans="1:15" x14ac:dyDescent="0.3">
      <c r="A123" t="s">
        <v>2113</v>
      </c>
      <c r="B123" t="str">
        <f t="shared" ca="1" si="12"/>
        <v>23- 43- 32</v>
      </c>
      <c r="C123" t="str">
        <f t="shared" ca="1" si="13"/>
        <v>.201 N</v>
      </c>
      <c r="D123" t="str">
        <f t="shared" ca="1" si="14"/>
        <v>CCC</v>
      </c>
      <c r="E123" t="str">
        <f t="shared" ca="1" si="15"/>
        <v>23- 43- 32CCC.201 N</v>
      </c>
      <c r="F123" t="str">
        <f t="shared" ca="1" si="16"/>
        <v>23- 43- 32CCC.201 N</v>
      </c>
      <c r="H123" t="s">
        <v>2607</v>
      </c>
      <c r="I123" t="str">
        <f t="shared" ca="1" si="17"/>
        <v>90- 24- 11.20</v>
      </c>
      <c r="J123" t="str">
        <f t="shared" ca="1" si="18"/>
        <v>9 E</v>
      </c>
      <c r="K123" t="str">
        <f t="shared" ca="1" si="19"/>
        <v>~~~~</v>
      </c>
      <c r="L123" t="str">
        <f t="shared" ca="1" si="20"/>
        <v>90- 24- 11.20~~~~9 E</v>
      </c>
      <c r="M123" t="str">
        <f t="shared" ca="1" si="21"/>
        <v>90- 24- 11.20~~~~9 E</v>
      </c>
      <c r="N123">
        <f t="shared" ca="1" si="22"/>
        <v>23.725611388888886</v>
      </c>
      <c r="O123">
        <f t="shared" ca="1" si="23"/>
        <v>90.403113611111124</v>
      </c>
    </row>
    <row r="124" spans="1:15" x14ac:dyDescent="0.3">
      <c r="A124" t="s">
        <v>2114</v>
      </c>
      <c r="B124" t="str">
        <f t="shared" ca="1" si="12"/>
        <v>23- 43- 32.79</v>
      </c>
      <c r="C124" t="str">
        <f t="shared" ca="1" si="13"/>
        <v>3 N</v>
      </c>
      <c r="D124" t="str">
        <f t="shared" ca="1" si="14"/>
        <v>NN</v>
      </c>
      <c r="E124" t="str">
        <f t="shared" ca="1" si="15"/>
        <v>23- 43- 32.79NN3 N</v>
      </c>
      <c r="F124" t="str">
        <f t="shared" ca="1" si="16"/>
        <v>23- 43- 32.79NN3 N</v>
      </c>
      <c r="H124" t="s">
        <v>2608</v>
      </c>
      <c r="I124" t="str">
        <f t="shared" ca="1" si="17"/>
        <v>90-</v>
      </c>
      <c r="J124" t="str">
        <f t="shared" ca="1" si="18"/>
        <v xml:space="preserve"> 24- 46.493 E</v>
      </c>
      <c r="K124" t="str">
        <f t="shared" ca="1" si="19"/>
        <v>kk</v>
      </c>
      <c r="L124" t="str">
        <f t="shared" ca="1" si="20"/>
        <v>90-kk 24- 46.493 E</v>
      </c>
      <c r="M124" t="str">
        <f t="shared" ca="1" si="21"/>
        <v>90-kk 24- 46.493 E</v>
      </c>
      <c r="N124">
        <f t="shared" ca="1" si="22"/>
        <v>23.72577583333333</v>
      </c>
      <c r="O124">
        <f t="shared" ca="1" si="23"/>
        <v>90.412914722222226</v>
      </c>
    </row>
    <row r="125" spans="1:15" x14ac:dyDescent="0.3">
      <c r="A125" t="s">
        <v>2115</v>
      </c>
      <c r="B125" t="str">
        <f t="shared" ca="1" si="12"/>
        <v>23- 43- 33.382</v>
      </c>
      <c r="C125" t="str">
        <f t="shared" ca="1" si="13"/>
        <v xml:space="preserve"> N</v>
      </c>
      <c r="D125" t="str">
        <f t="shared" ca="1" si="14"/>
        <v>JJJ</v>
      </c>
      <c r="E125" t="str">
        <f t="shared" ca="1" si="15"/>
        <v>23- 43- 33.382JJJ N</v>
      </c>
      <c r="F125" t="str">
        <f t="shared" ca="1" si="16"/>
        <v>23- 43- 33.382JJJ N</v>
      </c>
      <c r="H125" t="s">
        <v>2609</v>
      </c>
      <c r="I125" t="str">
        <f t="shared" ca="1" si="17"/>
        <v>90- 25- 21.7</v>
      </c>
      <c r="J125" t="str">
        <f t="shared" ca="1" si="18"/>
        <v>77 E</v>
      </c>
      <c r="K125" t="str">
        <f t="shared" ca="1" si="19"/>
        <v>KKKKK</v>
      </c>
      <c r="L125" t="str">
        <f t="shared" ca="1" si="20"/>
        <v>90- 25- 21.7KKKKK77 E</v>
      </c>
      <c r="M125" t="str">
        <f t="shared" ca="1" si="21"/>
        <v>90- 25- 21.7KKKKK77 E</v>
      </c>
      <c r="N125">
        <f t="shared" ca="1" si="22"/>
        <v>23.725939444444442</v>
      </c>
      <c r="O125">
        <f t="shared" ca="1" si="23"/>
        <v>90.422715833333342</v>
      </c>
    </row>
    <row r="126" spans="1:15" x14ac:dyDescent="0.3">
      <c r="A126" t="s">
        <v>2116</v>
      </c>
      <c r="B126" t="str">
        <f t="shared" ca="1" si="12"/>
        <v xml:space="preserve">23- 43- 33.969 </v>
      </c>
      <c r="C126" t="str">
        <f t="shared" ca="1" si="13"/>
        <v>N</v>
      </c>
      <c r="D126" t="str">
        <f t="shared" ca="1" si="14"/>
        <v>PPPP</v>
      </c>
      <c r="E126" t="str">
        <f t="shared" ca="1" si="15"/>
        <v>23- 43- 33.969 PPPPN</v>
      </c>
      <c r="F126" t="str">
        <f t="shared" ca="1" si="16"/>
        <v>23- 43- 33.969 PPPPN</v>
      </c>
      <c r="H126" t="s">
        <v>2610</v>
      </c>
      <c r="I126" t="str">
        <f t="shared" ca="1" si="17"/>
        <v>90</v>
      </c>
      <c r="J126" t="str">
        <f t="shared" ca="1" si="18"/>
        <v>- 25- 57.061 E</v>
      </c>
      <c r="K126" t="str">
        <f t="shared" ca="1" si="19"/>
        <v>gggg</v>
      </c>
      <c r="L126" t="str">
        <f t="shared" ca="1" si="20"/>
        <v>90gggg- 25- 57.061 E</v>
      </c>
      <c r="M126" t="str">
        <f t="shared" ca="1" si="21"/>
        <v>90gggg- 25- 57.061 E</v>
      </c>
      <c r="N126">
        <f t="shared" ca="1" si="22"/>
        <v>23.7261025</v>
      </c>
      <c r="O126">
        <f t="shared" ca="1" si="23"/>
        <v>90.432516944444444</v>
      </c>
    </row>
    <row r="127" spans="1:15" x14ac:dyDescent="0.3">
      <c r="A127" t="s">
        <v>2117</v>
      </c>
      <c r="B127" t="str">
        <f t="shared" ca="1" si="12"/>
        <v>23- 43- 34</v>
      </c>
      <c r="C127" t="str">
        <f t="shared" ca="1" si="13"/>
        <v>.554 N</v>
      </c>
      <c r="D127" t="str">
        <f t="shared" ca="1" si="14"/>
        <v>H</v>
      </c>
      <c r="E127" t="str">
        <f t="shared" ca="1" si="15"/>
        <v>23- 43- 34H.554 N</v>
      </c>
      <c r="F127" t="str">
        <f t="shared" ca="1" si="16"/>
        <v>23- 43- 34H.554 N</v>
      </c>
      <c r="H127" t="s">
        <v>2611</v>
      </c>
      <c r="I127" t="str">
        <f t="shared" ca="1" si="17"/>
        <v>90- 26</v>
      </c>
      <c r="J127" t="str">
        <f t="shared" ca="1" si="18"/>
        <v>- 32.346 E</v>
      </c>
      <c r="K127" t="str">
        <f t="shared" ca="1" si="19"/>
        <v>Z</v>
      </c>
      <c r="L127" t="str">
        <f t="shared" ca="1" si="20"/>
        <v>90- 26Z- 32.346 E</v>
      </c>
      <c r="M127" t="str">
        <f t="shared" ca="1" si="21"/>
        <v>90- 26Z- 32.346 E</v>
      </c>
      <c r="N127">
        <f t="shared" ca="1" si="22"/>
        <v>23.726264999999998</v>
      </c>
      <c r="O127">
        <f t="shared" ca="1" si="23"/>
        <v>90.442318333333333</v>
      </c>
    </row>
    <row r="128" spans="1:15" x14ac:dyDescent="0.3">
      <c r="A128" t="s">
        <v>2118</v>
      </c>
      <c r="B128" t="str">
        <f t="shared" ca="1" si="12"/>
        <v>23- 43- 3</v>
      </c>
      <c r="C128" t="str">
        <f t="shared" ca="1" si="13"/>
        <v>5.137 N</v>
      </c>
      <c r="D128" t="str">
        <f t="shared" ca="1" si="14"/>
        <v>OOOO</v>
      </c>
      <c r="E128" t="str">
        <f t="shared" ca="1" si="15"/>
        <v>23- 43- 3OOOO5.137 N</v>
      </c>
      <c r="F128" t="str">
        <f t="shared" ca="1" si="16"/>
        <v>23- 43- 3OOOO5.137 N</v>
      </c>
      <c r="H128" t="s">
        <v>2612</v>
      </c>
      <c r="I128" t="str">
        <f t="shared" ca="1" si="17"/>
        <v>90- 27- 7.63</v>
      </c>
      <c r="J128" t="str">
        <f t="shared" ca="1" si="18"/>
        <v>1 E</v>
      </c>
      <c r="K128" t="str">
        <f t="shared" ca="1" si="19"/>
        <v>TTTT</v>
      </c>
      <c r="L128" t="str">
        <f t="shared" ca="1" si="20"/>
        <v>90- 27- 7.63TTTT1 E</v>
      </c>
      <c r="M128" t="str">
        <f t="shared" ca="1" si="21"/>
        <v>90- 27- 7.63TTTT1 E</v>
      </c>
      <c r="N128">
        <f t="shared" ca="1" si="22"/>
        <v>23.726426944444444</v>
      </c>
      <c r="O128">
        <f t="shared" ca="1" si="23"/>
        <v>90.452119722222221</v>
      </c>
    </row>
    <row r="129" spans="1:15" x14ac:dyDescent="0.3">
      <c r="A129" t="s">
        <v>2119</v>
      </c>
      <c r="B129" t="str">
        <f t="shared" ca="1" si="12"/>
        <v>23- 43- 35.</v>
      </c>
      <c r="C129" t="str">
        <f t="shared" ca="1" si="13"/>
        <v>718 N</v>
      </c>
      <c r="D129" t="str">
        <f t="shared" ca="1" si="14"/>
        <v>A</v>
      </c>
      <c r="E129" t="str">
        <f t="shared" ca="1" si="15"/>
        <v>23- 43- 35.A718 N</v>
      </c>
      <c r="F129" t="str">
        <f t="shared" ca="1" si="16"/>
        <v>23- 43- 35.A718 N</v>
      </c>
      <c r="H129" t="s">
        <v>2613</v>
      </c>
      <c r="I129" t="str">
        <f t="shared" ca="1" si="17"/>
        <v>90- 27- 42.91</v>
      </c>
      <c r="J129" t="str">
        <f t="shared" ca="1" si="18"/>
        <v>6 E</v>
      </c>
      <c r="K129" t="str">
        <f t="shared" ca="1" si="19"/>
        <v>JJJ</v>
      </c>
      <c r="L129" t="str">
        <f t="shared" ca="1" si="20"/>
        <v>90- 27- 42.91JJJ6 E</v>
      </c>
      <c r="M129" t="str">
        <f t="shared" ca="1" si="21"/>
        <v>90- 27- 42.91JJJ6 E</v>
      </c>
      <c r="N129">
        <f t="shared" ca="1" si="22"/>
        <v>23.726588333333332</v>
      </c>
      <c r="O129">
        <f t="shared" ca="1" si="23"/>
        <v>90.46192111111111</v>
      </c>
    </row>
    <row r="130" spans="1:15" x14ac:dyDescent="0.3">
      <c r="A130" t="s">
        <v>2120</v>
      </c>
      <c r="B130" t="str">
        <f t="shared" ref="B130:B193" ca="1" si="24">LEFT(A130,RANDBETWEEN(1,LEN(A130)))</f>
        <v>23</v>
      </c>
      <c r="C130" t="str">
        <f t="shared" ref="C130:C193" ca="1" si="25">SUBSTITUTE(A130,B130,"")</f>
        <v>- 43- 36.296 N</v>
      </c>
      <c r="D130" t="str">
        <f t="shared" ca="1" si="14"/>
        <v>EEE</v>
      </c>
      <c r="E130" t="str">
        <f t="shared" ca="1" si="15"/>
        <v>23EEE- 43- 36.296 N</v>
      </c>
      <c r="F130" t="str">
        <f t="shared" ca="1" si="16"/>
        <v>23EEE- 43- 36.296 N</v>
      </c>
      <c r="H130" t="s">
        <v>2614</v>
      </c>
      <c r="I130" t="str">
        <f t="shared" ca="1" si="17"/>
        <v>90- 28- 18.201</v>
      </c>
      <c r="J130" t="str">
        <f t="shared" ca="1" si="18"/>
        <v xml:space="preserve"> E</v>
      </c>
      <c r="K130" t="str">
        <f t="shared" ca="1" si="19"/>
        <v>III</v>
      </c>
      <c r="L130" t="str">
        <f t="shared" ca="1" si="20"/>
        <v>90- 28- 18.201III E</v>
      </c>
      <c r="M130" t="str">
        <f t="shared" ca="1" si="21"/>
        <v>90- 28- 18.201III E</v>
      </c>
      <c r="N130">
        <f t="shared" ca="1" si="22"/>
        <v>23.726748888888888</v>
      </c>
      <c r="O130">
        <f t="shared" ca="1" si="23"/>
        <v>90.471722499999998</v>
      </c>
    </row>
    <row r="131" spans="1:15" x14ac:dyDescent="0.3">
      <c r="A131" t="s">
        <v>2121</v>
      </c>
      <c r="B131" t="str">
        <f t="shared" ca="1" si="24"/>
        <v>23- 43- 3</v>
      </c>
      <c r="C131" t="str">
        <f t="shared" ca="1" si="25"/>
        <v>6.872 N</v>
      </c>
      <c r="D131" t="str">
        <f t="shared" ref="D131:D194" ca="1" si="26">IF(ISERROR(REPT(CHAR(RANDBETWEEN(65,128)),RANDBETWEEN(1,5))),"ee",(REPT(CHAR(RANDBETWEEN(65,128)),RANDBETWEEN(1,5))))</f>
        <v>|</v>
      </c>
      <c r="E131" t="str">
        <f t="shared" ref="E131:E194" ca="1" si="27">B131&amp;D131&amp;C131</f>
        <v>23- 43- 3|6.872 N</v>
      </c>
      <c r="F131" t="str">
        <f t="shared" ref="F131:F194" ca="1" si="28">E131</f>
        <v>23- 43- 3|6.872 N</v>
      </c>
      <c r="H131" t="s">
        <v>2615</v>
      </c>
      <c r="I131" t="str">
        <f t="shared" ref="I131:I194" ca="1" si="29">LEFT(H131,RANDBETWEEN(1,LEN(H131)))</f>
        <v>90- 28- 53</v>
      </c>
      <c r="J131" t="str">
        <f t="shared" ref="J131:J194" ca="1" si="30">SUBSTITUTE(H131,I131,"")</f>
        <v>.487 E</v>
      </c>
      <c r="K131" t="str">
        <f t="shared" ref="K131:K194" ca="1" si="31">IF(ISERROR(REPT(CHAR(RANDBETWEEN(65,128)),RANDBETWEEN(1,5))),"ee",(REPT(CHAR(RANDBETWEEN(65,128)),RANDBETWEEN(1,5))))</f>
        <v>P</v>
      </c>
      <c r="L131" t="str">
        <f t="shared" ref="L131:L194" ca="1" si="32">I131&amp;K131&amp;J131</f>
        <v>90- 28- 53P.487 E</v>
      </c>
      <c r="M131" t="str">
        <f t="shared" ref="M131:M194" ca="1" si="33">L131</f>
        <v>90- 28- 53P.487 E</v>
      </c>
      <c r="N131">
        <f t="shared" ref="N131:N194" ca="1" si="34">DecimalDegreesConverter(F131,,,"-")</f>
        <v>23.726908888888886</v>
      </c>
      <c r="O131">
        <f t="shared" ref="O131:O194" ca="1" si="35">DecimalDegreesConverter(M131,,,"-")</f>
        <v>90.481524166666674</v>
      </c>
    </row>
    <row r="132" spans="1:15" x14ac:dyDescent="0.3">
      <c r="A132" t="s">
        <v>2122</v>
      </c>
      <c r="B132" t="str">
        <f t="shared" ca="1" si="24"/>
        <v>23- 43- 37.4</v>
      </c>
      <c r="C132" t="str">
        <f t="shared" ca="1" si="25"/>
        <v>46 N</v>
      </c>
      <c r="D132" t="str">
        <f t="shared" ca="1" si="26"/>
        <v>OOO</v>
      </c>
      <c r="E132" t="str">
        <f t="shared" ca="1" si="27"/>
        <v>23- 43- 37.4OOO46 N</v>
      </c>
      <c r="F132" t="str">
        <f t="shared" ca="1" si="28"/>
        <v>23- 43- 37.4OOO46 N</v>
      </c>
      <c r="H132" t="s">
        <v>2616</v>
      </c>
      <c r="I132" t="str">
        <f t="shared" ca="1" si="29"/>
        <v>90- 29- 28.</v>
      </c>
      <c r="J132" t="str">
        <f t="shared" ca="1" si="30"/>
        <v>773 E</v>
      </c>
      <c r="K132" t="str">
        <f t="shared" ca="1" si="31"/>
        <v>VVVV</v>
      </c>
      <c r="L132" t="str">
        <f t="shared" ca="1" si="32"/>
        <v>90- 29- 28.VVVV773 E</v>
      </c>
      <c r="M132" t="str">
        <f t="shared" ca="1" si="33"/>
        <v>90- 29- 28.VVVV773 E</v>
      </c>
      <c r="N132">
        <f t="shared" ca="1" si="34"/>
        <v>23.727068333333332</v>
      </c>
      <c r="O132">
        <f t="shared" ca="1" si="35"/>
        <v>90.491325833333335</v>
      </c>
    </row>
    <row r="133" spans="1:15" x14ac:dyDescent="0.3">
      <c r="A133" t="s">
        <v>2123</v>
      </c>
      <c r="B133" t="str">
        <f t="shared" ca="1" si="24"/>
        <v xml:space="preserve">23- 43- </v>
      </c>
      <c r="C133" t="str">
        <f t="shared" ca="1" si="25"/>
        <v>38.017 N</v>
      </c>
      <c r="D133" t="str">
        <f t="shared" ca="1" si="26"/>
        <v>ii</v>
      </c>
      <c r="E133" t="str">
        <f t="shared" ca="1" si="27"/>
        <v>23- 43- ii38.017 N</v>
      </c>
      <c r="F133" t="str">
        <f t="shared" ca="1" si="28"/>
        <v>23- 43- ii38.017 N</v>
      </c>
      <c r="H133" t="s">
        <v>2617</v>
      </c>
      <c r="I133" t="str">
        <f t="shared" ca="1" si="29"/>
        <v>90</v>
      </c>
      <c r="J133" t="str">
        <f t="shared" ca="1" si="30"/>
        <v>- 30- 4.060 E</v>
      </c>
      <c r="K133" t="str">
        <f t="shared" ca="1" si="31"/>
        <v>^^</v>
      </c>
      <c r="L133" t="str">
        <f t="shared" ca="1" si="32"/>
        <v>90^^- 30- 4.060 E</v>
      </c>
      <c r="M133" t="str">
        <f t="shared" ca="1" si="33"/>
        <v>90^^- 30- 4.060 E</v>
      </c>
      <c r="N133">
        <f t="shared" ca="1" si="34"/>
        <v>23.727226944444443</v>
      </c>
      <c r="O133">
        <f t="shared" ca="1" si="35"/>
        <v>90.501127777777782</v>
      </c>
    </row>
    <row r="134" spans="1:15" x14ac:dyDescent="0.3">
      <c r="A134" t="s">
        <v>2124</v>
      </c>
      <c r="B134" t="str">
        <f t="shared" ca="1" si="24"/>
        <v>23- 43- 38.</v>
      </c>
      <c r="C134" t="str">
        <f t="shared" ca="1" si="25"/>
        <v>587 N</v>
      </c>
      <c r="D134" t="str">
        <f t="shared" ca="1" si="26"/>
        <v>QQ</v>
      </c>
      <c r="E134" t="str">
        <f t="shared" ca="1" si="27"/>
        <v>23- 43- 38.QQ587 N</v>
      </c>
      <c r="F134" t="str">
        <f t="shared" ca="1" si="28"/>
        <v>23- 43- 38.QQ587 N</v>
      </c>
      <c r="H134" t="s">
        <v>2618</v>
      </c>
      <c r="I134" t="str">
        <f t="shared" ca="1" si="29"/>
        <v>90- 30- 3</v>
      </c>
      <c r="J134" t="str">
        <f t="shared" ca="1" si="30"/>
        <v>9.346 E</v>
      </c>
      <c r="K134" t="str">
        <f t="shared" ca="1" si="31"/>
        <v>TT</v>
      </c>
      <c r="L134" t="str">
        <f t="shared" ca="1" si="32"/>
        <v>90- 30- 3TT9.346 E</v>
      </c>
      <c r="M134" t="str">
        <f t="shared" ca="1" si="33"/>
        <v>90- 30- 3TT9.346 E</v>
      </c>
      <c r="N134">
        <f t="shared" ca="1" si="34"/>
        <v>23.727385277777778</v>
      </c>
      <c r="O134">
        <f t="shared" ca="1" si="35"/>
        <v>90.510929444444443</v>
      </c>
    </row>
    <row r="135" spans="1:15" x14ac:dyDescent="0.3">
      <c r="A135" t="s">
        <v>2125</v>
      </c>
      <c r="B135" t="str">
        <f t="shared" ca="1" si="24"/>
        <v>23- 44- 0.47</v>
      </c>
      <c r="C135" t="str">
        <f t="shared" ca="1" si="25"/>
        <v>9 N</v>
      </c>
      <c r="D135" t="str">
        <f t="shared" ca="1" si="26"/>
        <v>`````</v>
      </c>
      <c r="E135" t="str">
        <f t="shared" ca="1" si="27"/>
        <v>23- 44- 0.47`````9 N</v>
      </c>
      <c r="F135" t="str">
        <f t="shared" ca="1" si="28"/>
        <v>23- 44- 0.47`````9 N</v>
      </c>
      <c r="H135" t="s">
        <v>2619</v>
      </c>
      <c r="I135" t="str">
        <f t="shared" ca="1" si="29"/>
        <v>9</v>
      </c>
      <c r="J135" t="str">
        <f t="shared" ca="1" si="30"/>
        <v>0- 20- 3.572 E</v>
      </c>
      <c r="K135" t="str">
        <f t="shared" ca="1" si="31"/>
        <v>\\\</v>
      </c>
      <c r="L135" t="str">
        <f t="shared" ca="1" si="32"/>
        <v>9\\\0- 20- 3.572 E</v>
      </c>
      <c r="M135" t="str">
        <f t="shared" ca="1" si="33"/>
        <v>9\\\0- 20- 3.572 E</v>
      </c>
      <c r="N135">
        <f t="shared" ca="1" si="34"/>
        <v>23.733466388888889</v>
      </c>
      <c r="O135">
        <f t="shared" ca="1" si="35"/>
        <v>90.334325555555552</v>
      </c>
    </row>
    <row r="136" spans="1:15" x14ac:dyDescent="0.3">
      <c r="A136" t="s">
        <v>2126</v>
      </c>
      <c r="B136" t="str">
        <f t="shared" ca="1" si="24"/>
        <v>23- 44- 1</v>
      </c>
      <c r="C136" t="str">
        <f t="shared" ca="1" si="25"/>
        <v>.086 N</v>
      </c>
      <c r="D136" t="str">
        <f t="shared" ca="1" si="26"/>
        <v>eee</v>
      </c>
      <c r="E136" t="str">
        <f t="shared" ca="1" si="27"/>
        <v>23- 44- 1eee.086 N</v>
      </c>
      <c r="F136" t="str">
        <f t="shared" ca="1" si="28"/>
        <v>23- 44- 1eee.086 N</v>
      </c>
      <c r="H136" t="s">
        <v>2620</v>
      </c>
      <c r="I136" t="str">
        <f t="shared" ca="1" si="29"/>
        <v>90- 20- 38.8</v>
      </c>
      <c r="J136" t="str">
        <f t="shared" ca="1" si="30"/>
        <v>56 E</v>
      </c>
      <c r="K136" t="str">
        <f t="shared" ca="1" si="31"/>
        <v>^^^^^</v>
      </c>
      <c r="L136" t="str">
        <f t="shared" ca="1" si="32"/>
        <v>90- 20- 38.8^^^^^56 E</v>
      </c>
      <c r="M136" t="str">
        <f t="shared" ca="1" si="33"/>
        <v>90- 20- 38.8^^^^^56 E</v>
      </c>
      <c r="N136">
        <f t="shared" ca="1" si="34"/>
        <v>23.733635</v>
      </c>
      <c r="O136">
        <f t="shared" ca="1" si="35"/>
        <v>90.344126666666668</v>
      </c>
    </row>
    <row r="137" spans="1:15" x14ac:dyDescent="0.3">
      <c r="A137" t="s">
        <v>2127</v>
      </c>
      <c r="B137" t="str">
        <f t="shared" ca="1" si="24"/>
        <v>23</v>
      </c>
      <c r="C137" t="str">
        <f t="shared" ca="1" si="25"/>
        <v>- 44- 1.692 N</v>
      </c>
      <c r="D137" t="str">
        <f t="shared" ca="1" si="26"/>
        <v>KK</v>
      </c>
      <c r="E137" t="str">
        <f t="shared" ca="1" si="27"/>
        <v>23KK- 44- 1.692 N</v>
      </c>
      <c r="F137" t="str">
        <f t="shared" ca="1" si="28"/>
        <v>23KK- 44- 1.692 N</v>
      </c>
      <c r="H137" t="s">
        <v>2621</v>
      </c>
      <c r="I137" t="str">
        <f t="shared" ca="1" si="29"/>
        <v xml:space="preserve">90- </v>
      </c>
      <c r="J137" t="str">
        <f t="shared" ca="1" si="30"/>
        <v>21- 14.140 E</v>
      </c>
      <c r="K137" t="str">
        <f t="shared" ca="1" si="31"/>
        <v>LL</v>
      </c>
      <c r="L137" t="str">
        <f t="shared" ca="1" si="32"/>
        <v>90- LL21- 14.140 E</v>
      </c>
      <c r="M137" t="str">
        <f t="shared" ca="1" si="33"/>
        <v>90- LL21- 14.140 E</v>
      </c>
      <c r="N137">
        <f t="shared" ca="1" si="34"/>
        <v>23.733803333333334</v>
      </c>
      <c r="O137">
        <f t="shared" ca="1" si="35"/>
        <v>90.35392777777777</v>
      </c>
    </row>
    <row r="138" spans="1:15" x14ac:dyDescent="0.3">
      <c r="A138" t="s">
        <v>2128</v>
      </c>
      <c r="B138" t="str">
        <f t="shared" ca="1" si="24"/>
        <v>2</v>
      </c>
      <c r="C138" t="str">
        <f t="shared" ca="1" si="25"/>
        <v>3- 44- .95 N</v>
      </c>
      <c r="D138" t="str">
        <f t="shared" ca="1" si="26"/>
        <v>yyyyy</v>
      </c>
      <c r="E138" t="str">
        <f t="shared" ca="1" si="27"/>
        <v>2yyyyy3- 44- .95 N</v>
      </c>
      <c r="F138" t="str">
        <f t="shared" ca="1" si="28"/>
        <v>2yyyyy3- 44- .95 N</v>
      </c>
      <c r="H138" t="s">
        <v>2622</v>
      </c>
      <c r="I138" t="str">
        <f t="shared" ca="1" si="29"/>
        <v>90- 21- 49.4</v>
      </c>
      <c r="J138" t="str">
        <f t="shared" ca="1" si="30"/>
        <v>24 E</v>
      </c>
      <c r="K138" t="str">
        <f t="shared" ca="1" si="31"/>
        <v>ssss</v>
      </c>
      <c r="L138" t="str">
        <f t="shared" ca="1" si="32"/>
        <v>90- 21- 49.4ssss24 E</v>
      </c>
      <c r="M138" t="str">
        <f t="shared" ca="1" si="33"/>
        <v>90- 21- 49.4ssss24 E</v>
      </c>
      <c r="N138">
        <f t="shared" ca="1" si="34"/>
        <v>23.733597222222222</v>
      </c>
      <c r="O138">
        <f t="shared" ca="1" si="35"/>
        <v>90.363728888888886</v>
      </c>
    </row>
    <row r="139" spans="1:15" x14ac:dyDescent="0.3">
      <c r="A139" t="s">
        <v>2129</v>
      </c>
      <c r="B139" t="str">
        <f t="shared" ca="1" si="24"/>
        <v>23- 44- 2.89</v>
      </c>
      <c r="C139" t="str">
        <f t="shared" ca="1" si="25"/>
        <v>6 N</v>
      </c>
      <c r="D139" t="str">
        <f t="shared" ca="1" si="26"/>
        <v>II</v>
      </c>
      <c r="E139" t="str">
        <f t="shared" ca="1" si="27"/>
        <v>23- 44- 2.89II6 N</v>
      </c>
      <c r="F139" t="str">
        <f t="shared" ca="1" si="28"/>
        <v>23- 44- 2.89II6 N</v>
      </c>
      <c r="H139" t="s">
        <v>2623</v>
      </c>
      <c r="I139" t="str">
        <f t="shared" ca="1" si="29"/>
        <v>90-</v>
      </c>
      <c r="J139" t="str">
        <f t="shared" ca="1" si="30"/>
        <v xml:space="preserve"> 22- 24.709 E</v>
      </c>
      <c r="K139" t="str">
        <f t="shared" ca="1" si="31"/>
        <v>www</v>
      </c>
      <c r="L139" t="str">
        <f t="shared" ca="1" si="32"/>
        <v>90-www 22- 24.709 E</v>
      </c>
      <c r="M139" t="str">
        <f t="shared" ca="1" si="33"/>
        <v>90-www 22- 24.709 E</v>
      </c>
      <c r="N139">
        <f t="shared" ca="1" si="34"/>
        <v>23.734137777777779</v>
      </c>
      <c r="O139">
        <f t="shared" ca="1" si="35"/>
        <v>90.373530277777775</v>
      </c>
    </row>
    <row r="140" spans="1:15" x14ac:dyDescent="0.3">
      <c r="A140" t="s">
        <v>2130</v>
      </c>
      <c r="B140" t="str">
        <f t="shared" ca="1" si="24"/>
        <v xml:space="preserve">23- 44- 3.494 </v>
      </c>
      <c r="C140" t="str">
        <f t="shared" ca="1" si="25"/>
        <v>N</v>
      </c>
      <c r="D140" t="str">
        <f t="shared" ca="1" si="26"/>
        <v>d</v>
      </c>
      <c r="E140" t="str">
        <f t="shared" ca="1" si="27"/>
        <v>23- 44- 3.494 dN</v>
      </c>
      <c r="F140" t="str">
        <f t="shared" ca="1" si="28"/>
        <v>23- 44- 3.494 dN</v>
      </c>
      <c r="H140" t="s">
        <v>2624</v>
      </c>
      <c r="I140" t="str">
        <f t="shared" ca="1" si="29"/>
        <v>90- 23- 0</v>
      </c>
      <c r="J140" t="str">
        <f t="shared" ca="1" si="30"/>
        <v>.000 E</v>
      </c>
      <c r="K140" t="str">
        <f t="shared" ca="1" si="31"/>
        <v>€€€€€</v>
      </c>
      <c r="L140" t="str">
        <f t="shared" ca="1" si="32"/>
        <v>90- 23- 0€€€€€.000 E</v>
      </c>
      <c r="M140" t="str">
        <f t="shared" ca="1" si="33"/>
        <v>90- 23- 0€€€€€.000 E</v>
      </c>
      <c r="N140">
        <f t="shared" ca="1" si="34"/>
        <v>23.734303888888888</v>
      </c>
      <c r="O140">
        <f t="shared" ca="1" si="35"/>
        <v>90.38333333333334</v>
      </c>
    </row>
    <row r="141" spans="1:15" x14ac:dyDescent="0.3">
      <c r="A141" t="s">
        <v>2131</v>
      </c>
      <c r="B141" t="str">
        <f t="shared" ca="1" si="24"/>
        <v>23-</v>
      </c>
      <c r="C141" t="str">
        <f t="shared" ca="1" si="25"/>
        <v xml:space="preserve"> 44- 4.091 N</v>
      </c>
      <c r="D141" t="str">
        <f t="shared" ca="1" si="26"/>
        <v>j</v>
      </c>
      <c r="E141" t="str">
        <f t="shared" ca="1" si="27"/>
        <v>23-j 44- 4.091 N</v>
      </c>
      <c r="F141" t="str">
        <f t="shared" ca="1" si="28"/>
        <v>23-j 44- 4.091 N</v>
      </c>
      <c r="H141" t="s">
        <v>2625</v>
      </c>
      <c r="I141" t="str">
        <f t="shared" ca="1" si="29"/>
        <v>90- 23- 35.28</v>
      </c>
      <c r="J141" t="str">
        <f t="shared" ca="1" si="30"/>
        <v>0 E</v>
      </c>
      <c r="K141" t="str">
        <f t="shared" ca="1" si="31"/>
        <v>PPPP</v>
      </c>
      <c r="L141" t="str">
        <f t="shared" ca="1" si="32"/>
        <v>90- 23- 35.28PPPP0 E</v>
      </c>
      <c r="M141" t="str">
        <f t="shared" ca="1" si="33"/>
        <v>90- 23- 35.28PPPP0 E</v>
      </c>
      <c r="N141">
        <f t="shared" ca="1" si="34"/>
        <v>23.734469722222222</v>
      </c>
      <c r="O141">
        <f t="shared" ca="1" si="35"/>
        <v>90.393133333333338</v>
      </c>
    </row>
    <row r="142" spans="1:15" x14ac:dyDescent="0.3">
      <c r="A142" t="s">
        <v>2132</v>
      </c>
      <c r="B142" t="str">
        <f t="shared" ca="1" si="24"/>
        <v>23- 44- 4.68</v>
      </c>
      <c r="C142" t="str">
        <f t="shared" ca="1" si="25"/>
        <v>5 N</v>
      </c>
      <c r="D142" t="str">
        <f t="shared" ca="1" si="26"/>
        <v>tttt</v>
      </c>
      <c r="E142" t="str">
        <f t="shared" ca="1" si="27"/>
        <v>23- 44- 4.68tttt5 N</v>
      </c>
      <c r="F142" t="str">
        <f t="shared" ca="1" si="28"/>
        <v>23- 44- 4.68tttt5 N</v>
      </c>
      <c r="H142" t="s">
        <v>2626</v>
      </c>
      <c r="I142" t="str">
        <f t="shared" ca="1" si="29"/>
        <v>90- 24- 10.56</v>
      </c>
      <c r="J142" t="str">
        <f t="shared" ca="1" si="30"/>
        <v>5 E</v>
      </c>
      <c r="K142" t="str">
        <f t="shared" ca="1" si="31"/>
        <v>v</v>
      </c>
      <c r="L142" t="str">
        <f t="shared" ca="1" si="32"/>
        <v>90- 24- 10.56v5 E</v>
      </c>
      <c r="M142" t="str">
        <f t="shared" ca="1" si="33"/>
        <v>90- 24- 10.56v5 E</v>
      </c>
      <c r="N142">
        <f t="shared" ca="1" si="34"/>
        <v>23.734634722222225</v>
      </c>
      <c r="O142">
        <f t="shared" ca="1" si="35"/>
        <v>90.402934722222227</v>
      </c>
    </row>
    <row r="143" spans="1:15" x14ac:dyDescent="0.3">
      <c r="A143" t="s">
        <v>2133</v>
      </c>
      <c r="B143" t="str">
        <f t="shared" ca="1" si="24"/>
        <v>23- 44</v>
      </c>
      <c r="C143" t="str">
        <f t="shared" ca="1" si="25"/>
        <v>- 5.277 N</v>
      </c>
      <c r="D143" t="str">
        <f t="shared" ca="1" si="26"/>
        <v>oooo</v>
      </c>
      <c r="E143" t="str">
        <f t="shared" ca="1" si="27"/>
        <v>23- 44oooo- 5.277 N</v>
      </c>
      <c r="F143" t="str">
        <f t="shared" ca="1" si="28"/>
        <v>23- 44oooo- 5.277 N</v>
      </c>
      <c r="H143" t="s">
        <v>2627</v>
      </c>
      <c r="I143" t="str">
        <f t="shared" ca="1" si="29"/>
        <v>90- 24- 45.851</v>
      </c>
      <c r="J143" t="str">
        <f t="shared" ca="1" si="30"/>
        <v xml:space="preserve"> E</v>
      </c>
      <c r="K143" t="str">
        <f t="shared" ca="1" si="31"/>
        <v>iii</v>
      </c>
      <c r="L143" t="str">
        <f t="shared" ca="1" si="32"/>
        <v>90- 24- 45.851iii E</v>
      </c>
      <c r="M143" t="str">
        <f t="shared" ca="1" si="33"/>
        <v>90- 24- 45.851iii E</v>
      </c>
      <c r="N143">
        <f t="shared" ca="1" si="34"/>
        <v>23.734799166666669</v>
      </c>
      <c r="O143">
        <f t="shared" ca="1" si="35"/>
        <v>90.412736388888888</v>
      </c>
    </row>
    <row r="144" spans="1:15" x14ac:dyDescent="0.3">
      <c r="A144" t="s">
        <v>2134</v>
      </c>
      <c r="B144" t="str">
        <f t="shared" ca="1" si="24"/>
        <v>23- 44-</v>
      </c>
      <c r="C144" t="str">
        <f t="shared" ca="1" si="25"/>
        <v xml:space="preserve"> 5.866 N</v>
      </c>
      <c r="D144" t="str">
        <f t="shared" ca="1" si="26"/>
        <v>EE</v>
      </c>
      <c r="E144" t="str">
        <f t="shared" ca="1" si="27"/>
        <v>23- 44-EE 5.866 N</v>
      </c>
      <c r="F144" t="str">
        <f t="shared" ca="1" si="28"/>
        <v>23- 44-EE 5.866 N</v>
      </c>
      <c r="H144" t="s">
        <v>2628</v>
      </c>
      <c r="I144" t="str">
        <f t="shared" ca="1" si="29"/>
        <v>90- 25</v>
      </c>
      <c r="J144" t="str">
        <f t="shared" ca="1" si="30"/>
        <v>- 21.138 E</v>
      </c>
      <c r="K144" t="str">
        <f t="shared" ca="1" si="31"/>
        <v>EEEEE</v>
      </c>
      <c r="L144" t="str">
        <f t="shared" ca="1" si="32"/>
        <v>90- 25EEEEE- 21.138 E</v>
      </c>
      <c r="M144" t="str">
        <f t="shared" ca="1" si="33"/>
        <v>90- 25EEEEE- 21.138 E</v>
      </c>
      <c r="N144">
        <f t="shared" ca="1" si="34"/>
        <v>23.734962777777778</v>
      </c>
      <c r="O144">
        <f t="shared" ca="1" si="35"/>
        <v>90.422538333333335</v>
      </c>
    </row>
    <row r="145" spans="1:15" x14ac:dyDescent="0.3">
      <c r="A145" t="s">
        <v>2135</v>
      </c>
      <c r="B145" t="str">
        <f t="shared" ca="1" si="24"/>
        <v>23- 4</v>
      </c>
      <c r="C145" t="str">
        <f t="shared" ca="1" si="25"/>
        <v>4- 6.454 N</v>
      </c>
      <c r="D145" t="str">
        <f t="shared" ca="1" si="26"/>
        <v>}}}</v>
      </c>
      <c r="E145" t="str">
        <f t="shared" ca="1" si="27"/>
        <v>23- 4}}}4- 6.454 N</v>
      </c>
      <c r="F145" t="str">
        <f t="shared" ca="1" si="28"/>
        <v>23- 4}}}4- 6.454 N</v>
      </c>
      <c r="H145" t="s">
        <v>2629</v>
      </c>
      <c r="I145" t="str">
        <f t="shared" ca="1" si="29"/>
        <v xml:space="preserve">90- </v>
      </c>
      <c r="J145" t="str">
        <f t="shared" ca="1" si="30"/>
        <v>25- 56.424 E</v>
      </c>
      <c r="K145" t="str">
        <f t="shared" ca="1" si="31"/>
        <v>III</v>
      </c>
      <c r="L145" t="str">
        <f t="shared" ca="1" si="32"/>
        <v>90- III25- 56.424 E</v>
      </c>
      <c r="M145" t="str">
        <f t="shared" ca="1" si="33"/>
        <v>90- III25- 56.424 E</v>
      </c>
      <c r="N145">
        <f t="shared" ca="1" si="34"/>
        <v>23.735126111111111</v>
      </c>
      <c r="O145">
        <f t="shared" ca="1" si="35"/>
        <v>90.432340000000011</v>
      </c>
    </row>
    <row r="146" spans="1:15" x14ac:dyDescent="0.3">
      <c r="A146" t="s">
        <v>2136</v>
      </c>
      <c r="B146" t="str">
        <f t="shared" ca="1" si="24"/>
        <v>23- 44-</v>
      </c>
      <c r="C146" t="str">
        <f t="shared" ca="1" si="25"/>
        <v xml:space="preserve"> 7.039 N</v>
      </c>
      <c r="D146" t="str">
        <f t="shared" ca="1" si="26"/>
        <v>XX</v>
      </c>
      <c r="E146" t="str">
        <f t="shared" ca="1" si="27"/>
        <v>23- 44-XX 7.039 N</v>
      </c>
      <c r="F146" t="str">
        <f t="shared" ca="1" si="28"/>
        <v>23- 44-XX 7.039 N</v>
      </c>
      <c r="H146" t="s">
        <v>2630</v>
      </c>
      <c r="I146" t="str">
        <f t="shared" ca="1" si="29"/>
        <v>90- 2</v>
      </c>
      <c r="J146" t="str">
        <f t="shared" ca="1" si="30"/>
        <v>6- 31.711 E</v>
      </c>
      <c r="K146" t="str">
        <f t="shared" ca="1" si="31"/>
        <v>JJ</v>
      </c>
      <c r="L146" t="str">
        <f t="shared" ca="1" si="32"/>
        <v>90- 2JJ6- 31.711 E</v>
      </c>
      <c r="M146" t="str">
        <f t="shared" ca="1" si="33"/>
        <v>90- 2JJ6- 31.711 E</v>
      </c>
      <c r="N146">
        <f t="shared" ca="1" si="34"/>
        <v>23.735288611111113</v>
      </c>
      <c r="O146">
        <f t="shared" ca="1" si="35"/>
        <v>90.442141944444444</v>
      </c>
    </row>
    <row r="147" spans="1:15" x14ac:dyDescent="0.3">
      <c r="A147" t="s">
        <v>2137</v>
      </c>
      <c r="B147" t="str">
        <f t="shared" ca="1" si="24"/>
        <v>23- 44- 7.</v>
      </c>
      <c r="C147" t="str">
        <f t="shared" ca="1" si="25"/>
        <v>622 N</v>
      </c>
      <c r="D147" t="str">
        <f t="shared" ca="1" si="26"/>
        <v>GGGG</v>
      </c>
      <c r="E147" t="str">
        <f t="shared" ca="1" si="27"/>
        <v>23- 44- 7.GGGG622 N</v>
      </c>
      <c r="F147" t="str">
        <f t="shared" ca="1" si="28"/>
        <v>23- 44- 7.GGGG622 N</v>
      </c>
      <c r="H147" t="s">
        <v>2631</v>
      </c>
      <c r="I147" t="str">
        <f t="shared" ca="1" si="29"/>
        <v>90- 27</v>
      </c>
      <c r="J147" t="str">
        <f t="shared" ca="1" si="30"/>
        <v>- 6.999 E</v>
      </c>
      <c r="K147" t="str">
        <f t="shared" ca="1" si="31"/>
        <v>NNNNN</v>
      </c>
      <c r="L147" t="str">
        <f t="shared" ca="1" si="32"/>
        <v>90- 27NNNNN- 6.999 E</v>
      </c>
      <c r="M147" t="str">
        <f t="shared" ca="1" si="33"/>
        <v>90- 27NNNNN- 6.999 E</v>
      </c>
      <c r="N147">
        <f t="shared" ca="1" si="34"/>
        <v>23.735450555555555</v>
      </c>
      <c r="O147">
        <f t="shared" ca="1" si="35"/>
        <v>90.451944166666664</v>
      </c>
    </row>
    <row r="148" spans="1:15" x14ac:dyDescent="0.3">
      <c r="A148" t="s">
        <v>2138</v>
      </c>
      <c r="B148" t="str">
        <f t="shared" ca="1" si="24"/>
        <v>23- 44- 8.2</v>
      </c>
      <c r="C148" t="str">
        <f t="shared" ca="1" si="25"/>
        <v>03 N</v>
      </c>
      <c r="D148" t="str">
        <f t="shared" ca="1" si="26"/>
        <v>xxxxx</v>
      </c>
      <c r="E148" t="str">
        <f t="shared" ca="1" si="27"/>
        <v>23- 44- 8.2xxxxx03 N</v>
      </c>
      <c r="F148" t="str">
        <f t="shared" ca="1" si="28"/>
        <v>23- 44- 8.2xxxxx03 N</v>
      </c>
      <c r="H148" t="s">
        <v>2632</v>
      </c>
      <c r="I148" t="str">
        <f t="shared" ca="1" si="29"/>
        <v>90- 27- 42.2</v>
      </c>
      <c r="J148" t="str">
        <f t="shared" ca="1" si="30"/>
        <v>86 E</v>
      </c>
      <c r="K148" t="str">
        <f t="shared" ca="1" si="31"/>
        <v>ggggg</v>
      </c>
      <c r="L148" t="str">
        <f t="shared" ca="1" si="32"/>
        <v>90- 27- 42.2ggggg86 E</v>
      </c>
      <c r="M148" t="str">
        <f t="shared" ca="1" si="33"/>
        <v>90- 27- 42.2ggggg86 E</v>
      </c>
      <c r="N148">
        <f t="shared" ca="1" si="34"/>
        <v>23.735611944444447</v>
      </c>
      <c r="O148">
        <f t="shared" ca="1" si="35"/>
        <v>90.461746111111111</v>
      </c>
    </row>
    <row r="149" spans="1:15" x14ac:dyDescent="0.3">
      <c r="A149" t="s">
        <v>2139</v>
      </c>
      <c r="B149" t="str">
        <f t="shared" ca="1" si="24"/>
        <v>23- 44-</v>
      </c>
      <c r="C149" t="str">
        <f t="shared" ca="1" si="25"/>
        <v xml:space="preserve"> 8.781 N</v>
      </c>
      <c r="D149" t="str">
        <f t="shared" ca="1" si="26"/>
        <v>qqq</v>
      </c>
      <c r="E149" t="str">
        <f t="shared" ca="1" si="27"/>
        <v>23- 44-qqq 8.781 N</v>
      </c>
      <c r="F149" t="str">
        <f t="shared" ca="1" si="28"/>
        <v>23- 44-qqq 8.781 N</v>
      </c>
      <c r="H149" t="s">
        <v>2633</v>
      </c>
      <c r="I149" t="str">
        <f t="shared" ca="1" si="29"/>
        <v>90- 28- 17.</v>
      </c>
      <c r="J149" t="str">
        <f t="shared" ca="1" si="30"/>
        <v>574 E</v>
      </c>
      <c r="K149" t="str">
        <f t="shared" ca="1" si="31"/>
        <v>I</v>
      </c>
      <c r="L149" t="str">
        <f t="shared" ca="1" si="32"/>
        <v>90- 28- 17.I574 E</v>
      </c>
      <c r="M149" t="str">
        <f t="shared" ca="1" si="33"/>
        <v>90- 28- 17.I574 E</v>
      </c>
      <c r="N149">
        <f t="shared" ca="1" si="34"/>
        <v>23.735772499999999</v>
      </c>
      <c r="O149">
        <f t="shared" ca="1" si="35"/>
        <v>90.471548333333331</v>
      </c>
    </row>
    <row r="150" spans="1:15" x14ac:dyDescent="0.3">
      <c r="A150" t="s">
        <v>2140</v>
      </c>
      <c r="B150" t="str">
        <f t="shared" ca="1" si="24"/>
        <v>23- 44- 9.3</v>
      </c>
      <c r="C150" t="str">
        <f t="shared" ca="1" si="25"/>
        <v>58 N</v>
      </c>
      <c r="D150" t="str">
        <f t="shared" ca="1" si="26"/>
        <v>jjjj</v>
      </c>
      <c r="E150" t="str">
        <f t="shared" ca="1" si="27"/>
        <v>23- 44- 9.3jjjj58 N</v>
      </c>
      <c r="F150" t="str">
        <f t="shared" ca="1" si="28"/>
        <v>23- 44- 9.3jjjj58 N</v>
      </c>
      <c r="H150" t="s">
        <v>2634</v>
      </c>
      <c r="I150" t="str">
        <f t="shared" ca="1" si="29"/>
        <v>90- 28</v>
      </c>
      <c r="J150" t="str">
        <f t="shared" ca="1" si="30"/>
        <v>- 52.862 E</v>
      </c>
      <c r="K150" t="str">
        <f t="shared" ca="1" si="31"/>
        <v>KKK</v>
      </c>
      <c r="L150" t="str">
        <f t="shared" ca="1" si="32"/>
        <v>90- 28KKK- 52.862 E</v>
      </c>
      <c r="M150" t="str">
        <f t="shared" ca="1" si="33"/>
        <v>90- 28KKK- 52.862 E</v>
      </c>
      <c r="N150">
        <f t="shared" ca="1" si="34"/>
        <v>23.73593277777778</v>
      </c>
      <c r="O150">
        <f t="shared" ca="1" si="35"/>
        <v>90.481350555555551</v>
      </c>
    </row>
    <row r="151" spans="1:15" x14ac:dyDescent="0.3">
      <c r="A151" t="s">
        <v>2141</v>
      </c>
      <c r="B151" t="str">
        <f t="shared" ca="1" si="24"/>
        <v>23- 44- 9.932</v>
      </c>
      <c r="C151" t="str">
        <f t="shared" ca="1" si="25"/>
        <v xml:space="preserve"> N</v>
      </c>
      <c r="D151" t="str">
        <f t="shared" ca="1" si="26"/>
        <v>ggg</v>
      </c>
      <c r="E151" t="str">
        <f t="shared" ca="1" si="27"/>
        <v>23- 44- 9.932ggg N</v>
      </c>
      <c r="F151" t="str">
        <f t="shared" ca="1" si="28"/>
        <v>23- 44- 9.932ggg N</v>
      </c>
      <c r="H151" t="s">
        <v>2635</v>
      </c>
      <c r="I151" t="str">
        <f t="shared" ca="1" si="29"/>
        <v>90- 29</v>
      </c>
      <c r="J151" t="str">
        <f t="shared" ca="1" si="30"/>
        <v>- 28.151 E</v>
      </c>
      <c r="K151" t="str">
        <f t="shared" ca="1" si="31"/>
        <v>T</v>
      </c>
      <c r="L151" t="str">
        <f t="shared" ca="1" si="32"/>
        <v>90- 29T- 28.151 E</v>
      </c>
      <c r="M151" t="str">
        <f t="shared" ca="1" si="33"/>
        <v>90- 29T- 28.151 E</v>
      </c>
      <c r="N151">
        <f t="shared" ca="1" si="34"/>
        <v>23.736092222222222</v>
      </c>
      <c r="O151">
        <f t="shared" ca="1" si="35"/>
        <v>90.491153055555557</v>
      </c>
    </row>
    <row r="152" spans="1:15" x14ac:dyDescent="0.3">
      <c r="A152" t="s">
        <v>2142</v>
      </c>
      <c r="B152" t="str">
        <f t="shared" ca="1" si="24"/>
        <v>23- 44- 10.504</v>
      </c>
      <c r="C152" t="str">
        <f t="shared" ca="1" si="25"/>
        <v xml:space="preserve"> N</v>
      </c>
      <c r="D152" t="str">
        <f t="shared" ca="1" si="26"/>
        <v>]]]</v>
      </c>
      <c r="E152" t="str">
        <f t="shared" ca="1" si="27"/>
        <v>23- 44- 10.504]]] N</v>
      </c>
      <c r="F152" t="str">
        <f t="shared" ca="1" si="28"/>
        <v>23- 44- 10.504]]] N</v>
      </c>
      <c r="H152" t="s">
        <v>2636</v>
      </c>
      <c r="I152" t="str">
        <f t="shared" ca="1" si="29"/>
        <v>9</v>
      </c>
      <c r="J152" t="str">
        <f t="shared" ca="1" si="30"/>
        <v>0- 30- 3.440 E</v>
      </c>
      <c r="K152" t="str">
        <f t="shared" ca="1" si="31"/>
        <v></v>
      </c>
      <c r="L152" t="str">
        <f t="shared" ca="1" si="32"/>
        <v>90- 30- 3.440 E</v>
      </c>
      <c r="M152" t="str">
        <f t="shared" ca="1" si="33"/>
        <v>90- 30- 3.440 E</v>
      </c>
      <c r="N152">
        <f t="shared" ca="1" si="34"/>
        <v>23.736251111111113</v>
      </c>
      <c r="O152">
        <f t="shared" ca="1" si="35"/>
        <v>90.500955555555549</v>
      </c>
    </row>
    <row r="153" spans="1:15" x14ac:dyDescent="0.3">
      <c r="A153" t="s">
        <v>2143</v>
      </c>
      <c r="B153" t="str">
        <f t="shared" ca="1" si="24"/>
        <v xml:space="preserve">23- 44- 11.073 </v>
      </c>
      <c r="C153" t="str">
        <f t="shared" ca="1" si="25"/>
        <v>N</v>
      </c>
      <c r="D153" t="str">
        <f t="shared" ca="1" si="26"/>
        <v>HHH</v>
      </c>
      <c r="E153" t="str">
        <f t="shared" ca="1" si="27"/>
        <v>23- 44- 11.073 HHHN</v>
      </c>
      <c r="F153" t="str">
        <f t="shared" ca="1" si="28"/>
        <v>23- 44- 11.073 HHHN</v>
      </c>
      <c r="H153" t="s">
        <v>2637</v>
      </c>
      <c r="I153" t="str">
        <f t="shared" ca="1" si="29"/>
        <v>90-</v>
      </c>
      <c r="J153" t="str">
        <f t="shared" ca="1" si="30"/>
        <v xml:space="preserve"> 30- 38.729 E</v>
      </c>
      <c r="K153" t="str">
        <f t="shared" ca="1" si="31"/>
        <v>}}}}}</v>
      </c>
      <c r="L153" t="str">
        <f t="shared" ca="1" si="32"/>
        <v>90-}}}}} 30- 38.729 E</v>
      </c>
      <c r="M153" t="str">
        <f t="shared" ca="1" si="33"/>
        <v>90-}}}}} 30- 38.729 E</v>
      </c>
      <c r="N153">
        <f t="shared" ca="1" si="34"/>
        <v>23.736409166666668</v>
      </c>
      <c r="O153">
        <f t="shared" ca="1" si="35"/>
        <v>90.510758055555556</v>
      </c>
    </row>
    <row r="154" spans="1:15" x14ac:dyDescent="0.3">
      <c r="A154" t="s">
        <v>2144</v>
      </c>
      <c r="B154" t="str">
        <f t="shared" ca="1" si="24"/>
        <v>23- 44- 32.9</v>
      </c>
      <c r="C154" t="str">
        <f t="shared" ca="1" si="25"/>
        <v>61 N</v>
      </c>
      <c r="D154" t="str">
        <f t="shared" ca="1" si="26"/>
        <v>aa</v>
      </c>
      <c r="E154" t="str">
        <f t="shared" ca="1" si="27"/>
        <v>23- 44- 32.9aa61 N</v>
      </c>
      <c r="F154" t="str">
        <f t="shared" ca="1" si="28"/>
        <v>23- 44- 32.9aa61 N</v>
      </c>
      <c r="H154" t="s">
        <v>2638</v>
      </c>
      <c r="I154" t="str">
        <f t="shared" ca="1" si="29"/>
        <v>90- 20- 2.911</v>
      </c>
      <c r="J154" t="str">
        <f t="shared" ca="1" si="30"/>
        <v xml:space="preserve"> E</v>
      </c>
      <c r="K154" t="str">
        <f t="shared" ca="1" si="31"/>
        <v>kkk</v>
      </c>
      <c r="L154" t="str">
        <f t="shared" ca="1" si="32"/>
        <v>90- 20- 2.911kkk E</v>
      </c>
      <c r="M154" t="str">
        <f t="shared" ca="1" si="33"/>
        <v>90- 20- 2.911kkk E</v>
      </c>
      <c r="N154">
        <f t="shared" ca="1" si="34"/>
        <v>23.742489166666669</v>
      </c>
      <c r="O154">
        <f t="shared" ca="1" si="35"/>
        <v>90.33414194444444</v>
      </c>
    </row>
    <row r="155" spans="1:15" x14ac:dyDescent="0.3">
      <c r="A155" t="s">
        <v>2145</v>
      </c>
      <c r="B155" t="str">
        <f t="shared" ca="1" si="24"/>
        <v>23- 44- 33.569</v>
      </c>
      <c r="C155" t="str">
        <f t="shared" ca="1" si="25"/>
        <v xml:space="preserve"> N</v>
      </c>
      <c r="D155" t="str">
        <f t="shared" ca="1" si="26"/>
        <v>{{</v>
      </c>
      <c r="E155" t="str">
        <f t="shared" ca="1" si="27"/>
        <v>23- 44- 33.569{{ N</v>
      </c>
      <c r="F155" t="str">
        <f t="shared" ca="1" si="28"/>
        <v>23- 44- 33.569{{ N</v>
      </c>
      <c r="H155" t="s">
        <v>2639</v>
      </c>
      <c r="I155" t="str">
        <f t="shared" ca="1" si="29"/>
        <v>9</v>
      </c>
      <c r="J155" t="str">
        <f t="shared" ca="1" si="30"/>
        <v>0- 20- 38.17 E</v>
      </c>
      <c r="K155" t="str">
        <f t="shared" ca="1" si="31"/>
        <v>nnn</v>
      </c>
      <c r="L155" t="str">
        <f t="shared" ca="1" si="32"/>
        <v>9nnn0- 20- 38.17 E</v>
      </c>
      <c r="M155" t="str">
        <f t="shared" ca="1" si="33"/>
        <v>9nnn0- 20- 38.17 E</v>
      </c>
      <c r="N155">
        <f t="shared" ca="1" si="34"/>
        <v>23.742658055555555</v>
      </c>
      <c r="O155">
        <f t="shared" ca="1" si="35"/>
        <v>90.343936111111105</v>
      </c>
    </row>
    <row r="156" spans="1:15" x14ac:dyDescent="0.3">
      <c r="A156" t="s">
        <v>2146</v>
      </c>
      <c r="B156" t="str">
        <f t="shared" ca="1" si="24"/>
        <v>23- 44- 34</v>
      </c>
      <c r="C156" t="str">
        <f t="shared" ca="1" si="25"/>
        <v>.174 N</v>
      </c>
      <c r="D156" t="str">
        <f t="shared" ca="1" si="26"/>
        <v>|</v>
      </c>
      <c r="E156" t="str">
        <f t="shared" ca="1" si="27"/>
        <v>23- 44- 34|.174 N</v>
      </c>
      <c r="F156" t="str">
        <f t="shared" ca="1" si="28"/>
        <v>23- 44- 34|.174 N</v>
      </c>
      <c r="H156" t="s">
        <v>2640</v>
      </c>
      <c r="I156" t="str">
        <f t="shared" ca="1" si="29"/>
        <v>90- 21</v>
      </c>
      <c r="J156" t="str">
        <f t="shared" ca="1" si="30"/>
        <v>- 13.483 E</v>
      </c>
      <c r="K156" t="str">
        <f t="shared" ca="1" si="31"/>
        <v>SSSS</v>
      </c>
      <c r="L156" t="str">
        <f t="shared" ca="1" si="32"/>
        <v>90- 21SSSS- 13.483 E</v>
      </c>
      <c r="M156" t="str">
        <f t="shared" ca="1" si="33"/>
        <v>90- 21SSSS- 13.483 E</v>
      </c>
      <c r="N156">
        <f t="shared" ca="1" si="34"/>
        <v>23.742826111111111</v>
      </c>
      <c r="O156">
        <f t="shared" ca="1" si="35"/>
        <v>90.353745277777776</v>
      </c>
    </row>
    <row r="157" spans="1:15" x14ac:dyDescent="0.3">
      <c r="A157" t="s">
        <v>2147</v>
      </c>
      <c r="B157" t="str">
        <f t="shared" ca="1" si="24"/>
        <v xml:space="preserve">23- 44- </v>
      </c>
      <c r="C157" t="str">
        <f t="shared" ca="1" si="25"/>
        <v>34.777 N</v>
      </c>
      <c r="D157" t="str">
        <f t="shared" ca="1" si="26"/>
        <v>W</v>
      </c>
      <c r="E157" t="str">
        <f t="shared" ca="1" si="27"/>
        <v>23- 44- W34.777 N</v>
      </c>
      <c r="F157" t="str">
        <f t="shared" ca="1" si="28"/>
        <v>23- 44- W34.777 N</v>
      </c>
      <c r="H157" t="s">
        <v>2641</v>
      </c>
      <c r="I157" t="str">
        <f t="shared" ca="1" si="29"/>
        <v>90- 21- 4</v>
      </c>
      <c r="J157" t="str">
        <f t="shared" ca="1" si="30"/>
        <v>8.770 E</v>
      </c>
      <c r="K157" t="str">
        <f t="shared" ca="1" si="31"/>
        <v>\</v>
      </c>
      <c r="L157" t="str">
        <f t="shared" ca="1" si="32"/>
        <v>90- 21- 4\8.770 E</v>
      </c>
      <c r="M157" t="str">
        <f t="shared" ca="1" si="33"/>
        <v>90- 21- 4\8.770 E</v>
      </c>
      <c r="N157">
        <f t="shared" ca="1" si="34"/>
        <v>23.74299361111111</v>
      </c>
      <c r="O157">
        <f t="shared" ca="1" si="35"/>
        <v>90.363547222222223</v>
      </c>
    </row>
    <row r="158" spans="1:15" x14ac:dyDescent="0.3">
      <c r="A158" t="s">
        <v>2148</v>
      </c>
      <c r="B158" t="str">
        <f t="shared" ca="1" si="24"/>
        <v>23</v>
      </c>
      <c r="C158" t="str">
        <f t="shared" ca="1" si="25"/>
        <v>- 44- 35.379 N</v>
      </c>
      <c r="D158" t="str">
        <f t="shared" ca="1" si="26"/>
        <v>mmmm</v>
      </c>
      <c r="E158" t="str">
        <f t="shared" ca="1" si="27"/>
        <v>23mmmm- 44- 35.379 N</v>
      </c>
      <c r="F158" t="str">
        <f t="shared" ca="1" si="28"/>
        <v>23mmmm- 44- 35.379 N</v>
      </c>
      <c r="H158" t="s">
        <v>2642</v>
      </c>
      <c r="I158" t="str">
        <f t="shared" ca="1" si="29"/>
        <v>90</v>
      </c>
      <c r="J158" t="str">
        <f t="shared" ca="1" si="30"/>
        <v>- 22- 24.057 E</v>
      </c>
      <c r="K158" t="str">
        <f t="shared" ca="1" si="31"/>
        <v>xxxxx</v>
      </c>
      <c r="L158" t="str">
        <f t="shared" ca="1" si="32"/>
        <v>90xxxxx- 22- 24.057 E</v>
      </c>
      <c r="M158" t="str">
        <f t="shared" ca="1" si="33"/>
        <v>90xxxxx- 22- 24.057 E</v>
      </c>
      <c r="N158">
        <f t="shared" ca="1" si="34"/>
        <v>23.743160833333334</v>
      </c>
      <c r="O158">
        <f t="shared" ca="1" si="35"/>
        <v>90.373349166666657</v>
      </c>
    </row>
    <row r="159" spans="1:15" x14ac:dyDescent="0.3">
      <c r="A159" t="s">
        <v>2149</v>
      </c>
      <c r="B159" t="str">
        <f t="shared" ca="1" si="24"/>
        <v>23-</v>
      </c>
      <c r="C159" t="str">
        <f t="shared" ca="1" si="25"/>
        <v xml:space="preserve"> 44- 35.977 N</v>
      </c>
      <c r="D159" t="str">
        <f t="shared" ca="1" si="26"/>
        <v>{{{</v>
      </c>
      <c r="E159" t="str">
        <f t="shared" ca="1" si="27"/>
        <v>23-{{{ 44- 35.977 N</v>
      </c>
      <c r="F159" t="str">
        <f t="shared" ca="1" si="28"/>
        <v>23-{{{ 44- 35.977 N</v>
      </c>
      <c r="H159" t="s">
        <v>2643</v>
      </c>
      <c r="I159" t="str">
        <f t="shared" ca="1" si="29"/>
        <v>90- 22- 59.345 E</v>
      </c>
      <c r="J159" t="str">
        <f t="shared" ca="1" si="30"/>
        <v/>
      </c>
      <c r="K159" t="str">
        <f t="shared" ca="1" si="31"/>
        <v>uuu</v>
      </c>
      <c r="L159" t="str">
        <f t="shared" ca="1" si="32"/>
        <v>90- 22- 59.345 Euuu</v>
      </c>
      <c r="M159" t="str">
        <f t="shared" ca="1" si="33"/>
        <v>90- 22- 59.345 Euuu</v>
      </c>
      <c r="N159">
        <f t="shared" ca="1" si="34"/>
        <v>23.743326944444444</v>
      </c>
      <c r="O159">
        <f t="shared" ca="1" si="35"/>
        <v>90.383151388888876</v>
      </c>
    </row>
    <row r="160" spans="1:15" x14ac:dyDescent="0.3">
      <c r="A160" t="s">
        <v>2150</v>
      </c>
      <c r="B160" t="str">
        <f t="shared" ca="1" si="24"/>
        <v>23</v>
      </c>
      <c r="C160" t="str">
        <f t="shared" ca="1" si="25"/>
        <v>- 44- 36.574 N</v>
      </c>
      <c r="D160" t="str">
        <f t="shared" ca="1" si="26"/>
        <v>k</v>
      </c>
      <c r="E160" t="str">
        <f t="shared" ca="1" si="27"/>
        <v>23k- 44- 36.574 N</v>
      </c>
      <c r="F160" t="str">
        <f t="shared" ca="1" si="28"/>
        <v>23k- 44- 36.574 N</v>
      </c>
      <c r="H160" t="s">
        <v>2644</v>
      </c>
      <c r="I160" t="str">
        <f t="shared" ca="1" si="29"/>
        <v xml:space="preserve">90- </v>
      </c>
      <c r="J160" t="str">
        <f t="shared" ca="1" si="30"/>
        <v>23- 34.633 E</v>
      </c>
      <c r="K160" t="str">
        <f t="shared" ca="1" si="31"/>
        <v>{</v>
      </c>
      <c r="L160" t="str">
        <f t="shared" ca="1" si="32"/>
        <v>90- {23- 34.633 E</v>
      </c>
      <c r="M160" t="str">
        <f t="shared" ca="1" si="33"/>
        <v>90- {23- 34.633 E</v>
      </c>
      <c r="N160">
        <f t="shared" ca="1" si="34"/>
        <v>23.743492777777778</v>
      </c>
      <c r="O160">
        <f t="shared" ca="1" si="35"/>
        <v>90.392953611111125</v>
      </c>
    </row>
    <row r="161" spans="1:15" x14ac:dyDescent="0.3">
      <c r="A161" t="s">
        <v>2151</v>
      </c>
      <c r="B161" t="str">
        <f t="shared" ca="1" si="24"/>
        <v>23- 44- 37.169 N</v>
      </c>
      <c r="C161" t="str">
        <f t="shared" ca="1" si="25"/>
        <v/>
      </c>
      <c r="D161" t="str">
        <f t="shared" ca="1" si="26"/>
        <v>MMMMM</v>
      </c>
      <c r="E161" t="str">
        <f t="shared" ca="1" si="27"/>
        <v>23- 44- 37.169 NMMMMM</v>
      </c>
      <c r="F161" t="str">
        <f t="shared" ca="1" si="28"/>
        <v>23- 44- 37.169 NMMMMM</v>
      </c>
      <c r="H161" t="s">
        <v>2645</v>
      </c>
      <c r="I161" t="str">
        <f t="shared" ca="1" si="29"/>
        <v>90</v>
      </c>
      <c r="J161" t="str">
        <f t="shared" ca="1" si="30"/>
        <v>- 24- 9.921 E</v>
      </c>
      <c r="K161" t="str">
        <f t="shared" ca="1" si="31"/>
        <v>DD</v>
      </c>
      <c r="L161" t="str">
        <f t="shared" ca="1" si="32"/>
        <v>90DD- 24- 9.921 E</v>
      </c>
      <c r="M161" t="str">
        <f t="shared" ca="1" si="33"/>
        <v>90DD- 24- 9.921 E</v>
      </c>
      <c r="N161">
        <f t="shared" ca="1" si="34"/>
        <v>23.743658055555557</v>
      </c>
      <c r="O161">
        <f t="shared" ca="1" si="35"/>
        <v>90.402755833333345</v>
      </c>
    </row>
    <row r="162" spans="1:15" x14ac:dyDescent="0.3">
      <c r="A162" t="s">
        <v>2152</v>
      </c>
      <c r="B162" t="str">
        <f t="shared" ca="1" si="24"/>
        <v>2</v>
      </c>
      <c r="C162" t="str">
        <f t="shared" ca="1" si="25"/>
        <v>3- 44- 37.761 N</v>
      </c>
      <c r="D162" t="str">
        <f t="shared" ca="1" si="26"/>
        <v>YY</v>
      </c>
      <c r="E162" t="str">
        <f t="shared" ca="1" si="27"/>
        <v>2YY3- 44- 37.761 N</v>
      </c>
      <c r="F162" t="str">
        <f t="shared" ca="1" si="28"/>
        <v>2YY3- 44- 37.761 N</v>
      </c>
      <c r="H162" t="s">
        <v>2646</v>
      </c>
      <c r="I162" t="str">
        <f t="shared" ca="1" si="29"/>
        <v>90- 24- 45.20</v>
      </c>
      <c r="J162" t="str">
        <f t="shared" ca="1" si="30"/>
        <v>9 E</v>
      </c>
      <c r="K162" t="str">
        <f t="shared" ca="1" si="31"/>
        <v>ffff</v>
      </c>
      <c r="L162" t="str">
        <f t="shared" ca="1" si="32"/>
        <v>90- 24- 45.20ffff9 E</v>
      </c>
      <c r="M162" t="str">
        <f t="shared" ca="1" si="33"/>
        <v>90- 24- 45.20ffff9 E</v>
      </c>
      <c r="N162">
        <f t="shared" ca="1" si="34"/>
        <v>23.7438225</v>
      </c>
      <c r="O162">
        <f t="shared" ca="1" si="35"/>
        <v>90.412558055555564</v>
      </c>
    </row>
    <row r="163" spans="1:15" x14ac:dyDescent="0.3">
      <c r="A163" t="s">
        <v>2153</v>
      </c>
      <c r="B163" t="str">
        <f t="shared" ca="1" si="24"/>
        <v>23- 44- 38.351 N</v>
      </c>
      <c r="C163" t="str">
        <f t="shared" ca="1" si="25"/>
        <v/>
      </c>
      <c r="D163" t="str">
        <f t="shared" ca="1" si="26"/>
        <v>X</v>
      </c>
      <c r="E163" t="str">
        <f t="shared" ca="1" si="27"/>
        <v>23- 44- 38.351 NX</v>
      </c>
      <c r="F163" t="str">
        <f t="shared" ca="1" si="28"/>
        <v>23- 44- 38.351 NX</v>
      </c>
      <c r="H163" t="s">
        <v>2647</v>
      </c>
      <c r="I163" t="str">
        <f t="shared" ca="1" si="29"/>
        <v xml:space="preserve">90- 25- </v>
      </c>
      <c r="J163" t="str">
        <f t="shared" ca="1" si="30"/>
        <v>20.498 E</v>
      </c>
      <c r="K163" t="str">
        <f t="shared" ca="1" si="31"/>
        <v>VV</v>
      </c>
      <c r="L163" t="str">
        <f t="shared" ca="1" si="32"/>
        <v>90- 25- VV20.498 E</v>
      </c>
      <c r="M163" t="str">
        <f t="shared" ca="1" si="33"/>
        <v>90- 25- VV20.498 E</v>
      </c>
      <c r="N163">
        <f t="shared" ca="1" si="34"/>
        <v>23.743986388888889</v>
      </c>
      <c r="O163">
        <f t="shared" ca="1" si="35"/>
        <v>90.422360555555557</v>
      </c>
    </row>
    <row r="164" spans="1:15" x14ac:dyDescent="0.3">
      <c r="A164" t="s">
        <v>2154</v>
      </c>
      <c r="B164" t="str">
        <f t="shared" ca="1" si="24"/>
        <v xml:space="preserve">23- 44- </v>
      </c>
      <c r="C164" t="str">
        <f t="shared" ca="1" si="25"/>
        <v>38.938 N</v>
      </c>
      <c r="D164" t="str">
        <f t="shared" ca="1" si="26"/>
        <v>G</v>
      </c>
      <c r="E164" t="str">
        <f t="shared" ca="1" si="27"/>
        <v>23- 44- G38.938 N</v>
      </c>
      <c r="F164" t="str">
        <f t="shared" ca="1" si="28"/>
        <v>23- 44- G38.938 N</v>
      </c>
      <c r="H164" t="s">
        <v>2648</v>
      </c>
      <c r="I164" t="str">
        <f t="shared" ca="1" si="29"/>
        <v>90- 25-</v>
      </c>
      <c r="J164" t="str">
        <f t="shared" ca="1" si="30"/>
        <v xml:space="preserve"> 55.787 E</v>
      </c>
      <c r="K164" t="str">
        <f t="shared" ca="1" si="31"/>
        <v>t</v>
      </c>
      <c r="L164" t="str">
        <f t="shared" ca="1" si="32"/>
        <v>90- 25-t 55.787 E</v>
      </c>
      <c r="M164" t="str">
        <f t="shared" ca="1" si="33"/>
        <v>90- 25-t 55.787 E</v>
      </c>
      <c r="N164">
        <f t="shared" ca="1" si="34"/>
        <v>23.744149444444446</v>
      </c>
      <c r="O164">
        <f t="shared" ca="1" si="35"/>
        <v>90.432163055555563</v>
      </c>
    </row>
    <row r="165" spans="1:15" x14ac:dyDescent="0.3">
      <c r="A165" t="s">
        <v>2155</v>
      </c>
      <c r="B165" t="str">
        <f t="shared" ca="1" si="24"/>
        <v>23- 44- 39.5</v>
      </c>
      <c r="C165" t="str">
        <f t="shared" ca="1" si="25"/>
        <v>24 N</v>
      </c>
      <c r="D165" t="str">
        <f t="shared" ca="1" si="26"/>
        <v>€€€€€</v>
      </c>
      <c r="E165" t="str">
        <f t="shared" ca="1" si="27"/>
        <v>23- 44- 39.5€€€€€24 N</v>
      </c>
      <c r="F165" t="str">
        <f t="shared" ca="1" si="28"/>
        <v>23- 44- 39.5€€€€€24 N</v>
      </c>
      <c r="H165" t="s">
        <v>2649</v>
      </c>
      <c r="I165" t="str">
        <f t="shared" ca="1" si="29"/>
        <v>90- 26-</v>
      </c>
      <c r="J165" t="str">
        <f t="shared" ca="1" si="30"/>
        <v xml:space="preserve"> 31.077 E</v>
      </c>
      <c r="K165" t="str">
        <f t="shared" ca="1" si="31"/>
        <v>SSSSS</v>
      </c>
      <c r="L165" t="str">
        <f t="shared" ca="1" si="32"/>
        <v>90- 26-SSSSS 31.077 E</v>
      </c>
      <c r="M165" t="str">
        <f t="shared" ca="1" si="33"/>
        <v>90- 26-SSSSS 31.077 E</v>
      </c>
      <c r="N165">
        <f t="shared" ca="1" si="34"/>
        <v>23.744312222222224</v>
      </c>
      <c r="O165">
        <f t="shared" ca="1" si="35"/>
        <v>90.441965833333342</v>
      </c>
    </row>
    <row r="166" spans="1:15" x14ac:dyDescent="0.3">
      <c r="A166" t="s">
        <v>2156</v>
      </c>
      <c r="B166" t="str">
        <f t="shared" ca="1" si="24"/>
        <v>23- 44- 4</v>
      </c>
      <c r="C166" t="str">
        <f t="shared" ca="1" si="25"/>
        <v>0.107 N</v>
      </c>
      <c r="D166" t="str">
        <f t="shared" ca="1" si="26"/>
        <v>CCCC</v>
      </c>
      <c r="E166" t="str">
        <f t="shared" ca="1" si="27"/>
        <v>23- 44- 4CCCC0.107 N</v>
      </c>
      <c r="F166" t="str">
        <f t="shared" ca="1" si="28"/>
        <v>23- 44- 4CCCC0.107 N</v>
      </c>
      <c r="H166" t="s">
        <v>2650</v>
      </c>
      <c r="I166" t="str">
        <f t="shared" ca="1" si="29"/>
        <v>90- 27- 6.366 E</v>
      </c>
      <c r="J166" t="str">
        <f t="shared" ca="1" si="30"/>
        <v/>
      </c>
      <c r="K166" t="str">
        <f t="shared" ca="1" si="31"/>
        <v>{</v>
      </c>
      <c r="L166" t="str">
        <f t="shared" ca="1" si="32"/>
        <v>90- 27- 6.366 E{</v>
      </c>
      <c r="M166" t="str">
        <f t="shared" ca="1" si="33"/>
        <v>90- 27- 6.366 E{</v>
      </c>
      <c r="N166">
        <f t="shared" ca="1" si="34"/>
        <v>23.744474166666667</v>
      </c>
      <c r="O166">
        <f t="shared" ca="1" si="35"/>
        <v>90.451768333333334</v>
      </c>
    </row>
    <row r="167" spans="1:15" x14ac:dyDescent="0.3">
      <c r="A167" t="s">
        <v>2157</v>
      </c>
      <c r="B167" t="str">
        <f t="shared" ca="1" si="24"/>
        <v>23- 4</v>
      </c>
      <c r="C167" t="str">
        <f t="shared" ca="1" si="25"/>
        <v>4- 40.688 N</v>
      </c>
      <c r="D167" t="str">
        <f t="shared" ca="1" si="26"/>
        <v>UU</v>
      </c>
      <c r="E167" t="str">
        <f t="shared" ca="1" si="27"/>
        <v>23- 4UU4- 40.688 N</v>
      </c>
      <c r="F167" t="str">
        <f t="shared" ca="1" si="28"/>
        <v>23- 4UU4- 40.688 N</v>
      </c>
      <c r="H167" t="s">
        <v>2651</v>
      </c>
      <c r="I167" t="str">
        <f t="shared" ca="1" si="29"/>
        <v>90- 27- 41.65</v>
      </c>
      <c r="J167" t="str">
        <f t="shared" ca="1" si="30"/>
        <v>6 E</v>
      </c>
      <c r="K167" t="str">
        <f t="shared" ca="1" si="31"/>
        <v>aaa</v>
      </c>
      <c r="L167" t="str">
        <f t="shared" ca="1" si="32"/>
        <v>90- 27- 41.65aaa6 E</v>
      </c>
      <c r="M167" t="str">
        <f t="shared" ca="1" si="33"/>
        <v>90- 27- 41.65aaa6 E</v>
      </c>
      <c r="N167">
        <f t="shared" ca="1" si="34"/>
        <v>23.744635555555558</v>
      </c>
      <c r="O167">
        <f t="shared" ca="1" si="35"/>
        <v>90.461571111111112</v>
      </c>
    </row>
    <row r="168" spans="1:15" x14ac:dyDescent="0.3">
      <c r="A168" t="s">
        <v>2158</v>
      </c>
      <c r="B168" t="str">
        <f t="shared" ca="1" si="24"/>
        <v xml:space="preserve">23- </v>
      </c>
      <c r="C168" t="str">
        <f t="shared" ca="1" si="25"/>
        <v>44- 41.267 N</v>
      </c>
      <c r="D168" t="str">
        <f t="shared" ca="1" si="26"/>
        <v>ss</v>
      </c>
      <c r="E168" t="str">
        <f t="shared" ca="1" si="27"/>
        <v>23- ss44- 41.267 N</v>
      </c>
      <c r="F168" t="str">
        <f t="shared" ca="1" si="28"/>
        <v>23- ss44- 41.267 N</v>
      </c>
      <c r="H168" t="s">
        <v>2652</v>
      </c>
      <c r="I168" t="str">
        <f t="shared" ca="1" si="29"/>
        <v>90- 28</v>
      </c>
      <c r="J168" t="str">
        <f t="shared" ca="1" si="30"/>
        <v>- 16.947 E</v>
      </c>
      <c r="K168" t="str">
        <f t="shared" ca="1" si="31"/>
        <v>{{{{</v>
      </c>
      <c r="L168" t="str">
        <f t="shared" ca="1" si="32"/>
        <v>90- 28{{{{- 16.947 E</v>
      </c>
      <c r="M168" t="str">
        <f t="shared" ca="1" si="33"/>
        <v>90- 28{{{{- 16.947 E</v>
      </c>
      <c r="N168">
        <f t="shared" ca="1" si="34"/>
        <v>23.74479638888889</v>
      </c>
      <c r="O168">
        <f t="shared" ca="1" si="35"/>
        <v>90.471374166666664</v>
      </c>
    </row>
    <row r="169" spans="1:15" x14ac:dyDescent="0.3">
      <c r="A169" t="s">
        <v>2159</v>
      </c>
      <c r="B169" t="str">
        <f t="shared" ca="1" si="24"/>
        <v>23- 44- 41.84</v>
      </c>
      <c r="C169" t="str">
        <f t="shared" ca="1" si="25"/>
        <v>4 N</v>
      </c>
      <c r="D169" t="str">
        <f t="shared" ca="1" si="26"/>
        <v>[[</v>
      </c>
      <c r="E169" t="str">
        <f t="shared" ca="1" si="27"/>
        <v>23- 44- 41.84[[4 N</v>
      </c>
      <c r="F169" t="str">
        <f t="shared" ca="1" si="28"/>
        <v>23- 44- 41.84[[4 N</v>
      </c>
      <c r="H169" t="s">
        <v>2653</v>
      </c>
      <c r="I169" t="str">
        <f t="shared" ca="1" si="29"/>
        <v>90-</v>
      </c>
      <c r="J169" t="str">
        <f t="shared" ca="1" si="30"/>
        <v xml:space="preserve"> 28- 52.237 E</v>
      </c>
      <c r="K169" t="str">
        <f t="shared" ca="1" si="31"/>
        <v>VVVVV</v>
      </c>
      <c r="L169" t="str">
        <f t="shared" ca="1" si="32"/>
        <v>90-VVVVV 28- 52.237 E</v>
      </c>
      <c r="M169" t="str">
        <f t="shared" ca="1" si="33"/>
        <v>90-VVVVV 28- 52.237 E</v>
      </c>
      <c r="N169">
        <f t="shared" ca="1" si="34"/>
        <v>23.744956666666667</v>
      </c>
      <c r="O169">
        <f t="shared" ca="1" si="35"/>
        <v>90.481176944444442</v>
      </c>
    </row>
    <row r="170" spans="1:15" x14ac:dyDescent="0.3">
      <c r="A170" t="s">
        <v>2160</v>
      </c>
      <c r="B170" t="str">
        <f t="shared" ca="1" si="24"/>
        <v>23- 44- 42.418</v>
      </c>
      <c r="C170" t="str">
        <f t="shared" ca="1" si="25"/>
        <v xml:space="preserve"> N</v>
      </c>
      <c r="D170" t="str">
        <f t="shared" ca="1" si="26"/>
        <v>KKKK</v>
      </c>
      <c r="E170" t="str">
        <f t="shared" ca="1" si="27"/>
        <v>23- 44- 42.418KKKK N</v>
      </c>
      <c r="F170" t="str">
        <f t="shared" ca="1" si="28"/>
        <v>23- 44- 42.418KKKK N</v>
      </c>
      <c r="H170" t="s">
        <v>2654</v>
      </c>
      <c r="I170" t="str">
        <f t="shared" ca="1" si="29"/>
        <v>90- 29- 2</v>
      </c>
      <c r="J170" t="str">
        <f t="shared" ca="1" si="30"/>
        <v>7.528 E</v>
      </c>
      <c r="K170" t="str">
        <f t="shared" ca="1" si="31"/>
        <v>vvvvv</v>
      </c>
      <c r="L170" t="str">
        <f t="shared" ca="1" si="32"/>
        <v>90- 29- 2vvvvv7.528 E</v>
      </c>
      <c r="M170" t="str">
        <f t="shared" ca="1" si="33"/>
        <v>90- 29- 2vvvvv7.528 E</v>
      </c>
      <c r="N170">
        <f t="shared" ca="1" si="34"/>
        <v>23.745116111111113</v>
      </c>
      <c r="O170">
        <f t="shared" ca="1" si="35"/>
        <v>90.490980000000008</v>
      </c>
    </row>
    <row r="171" spans="1:15" x14ac:dyDescent="0.3">
      <c r="A171" t="s">
        <v>2161</v>
      </c>
      <c r="B171" t="str">
        <f t="shared" ca="1" si="24"/>
        <v>23- 44- 4</v>
      </c>
      <c r="C171" t="str">
        <f t="shared" ca="1" si="25"/>
        <v>2.990 N</v>
      </c>
      <c r="D171" t="str">
        <f t="shared" ca="1" si="26"/>
        <v>^^^^^</v>
      </c>
      <c r="E171" t="str">
        <f t="shared" ca="1" si="27"/>
        <v>23- 44- 4^^^^^2.990 N</v>
      </c>
      <c r="F171" t="str">
        <f t="shared" ca="1" si="28"/>
        <v>23- 44- 4^^^^^2.990 N</v>
      </c>
      <c r="H171" t="s">
        <v>2655</v>
      </c>
      <c r="I171" t="str">
        <f t="shared" ca="1" si="29"/>
        <v>90- 30- 2.820</v>
      </c>
      <c r="J171" t="str">
        <f t="shared" ca="1" si="30"/>
        <v xml:space="preserve"> E</v>
      </c>
      <c r="K171" t="str">
        <f t="shared" ca="1" si="31"/>
        <v>^</v>
      </c>
      <c r="L171" t="str">
        <f t="shared" ca="1" si="32"/>
        <v>90- 30- 2.820^ E</v>
      </c>
      <c r="M171" t="str">
        <f t="shared" ca="1" si="33"/>
        <v>90- 30- 2.820^ E</v>
      </c>
      <c r="N171">
        <f t="shared" ca="1" si="34"/>
        <v>23.745274999999999</v>
      </c>
      <c r="O171">
        <f t="shared" ca="1" si="35"/>
        <v>90.500783333333331</v>
      </c>
    </row>
    <row r="172" spans="1:15" x14ac:dyDescent="0.3">
      <c r="A172" t="s">
        <v>2162</v>
      </c>
      <c r="B172" t="str">
        <f t="shared" ca="1" si="24"/>
        <v xml:space="preserve">23- 44- 43.560 </v>
      </c>
      <c r="C172" t="str">
        <f t="shared" ca="1" si="25"/>
        <v>N</v>
      </c>
      <c r="D172" t="str">
        <f t="shared" ca="1" si="26"/>
        <v>FFFFF</v>
      </c>
      <c r="E172" t="str">
        <f t="shared" ca="1" si="27"/>
        <v>23- 44- 43.560 FFFFFN</v>
      </c>
      <c r="F172" t="str">
        <f t="shared" ca="1" si="28"/>
        <v>23- 44- 43.560 FFFFFN</v>
      </c>
      <c r="H172" t="s">
        <v>2656</v>
      </c>
      <c r="I172" t="str">
        <f t="shared" ca="1" si="29"/>
        <v xml:space="preserve">90- 30- 38.111 </v>
      </c>
      <c r="J172" t="str">
        <f t="shared" ca="1" si="30"/>
        <v>E</v>
      </c>
      <c r="K172" t="str">
        <f t="shared" ca="1" si="31"/>
        <v>CCCCC</v>
      </c>
      <c r="L172" t="str">
        <f t="shared" ca="1" si="32"/>
        <v>90- 30- 38.111 CCCCCE</v>
      </c>
      <c r="M172" t="str">
        <f t="shared" ca="1" si="33"/>
        <v>90- 30- 38.111 CCCCCE</v>
      </c>
      <c r="N172">
        <f t="shared" ca="1" si="34"/>
        <v>23.745433333333335</v>
      </c>
      <c r="O172">
        <f t="shared" ca="1" si="35"/>
        <v>90.510586388888882</v>
      </c>
    </row>
    <row r="173" spans="1:15" x14ac:dyDescent="0.3">
      <c r="A173" t="s">
        <v>2163</v>
      </c>
      <c r="B173" t="str">
        <f t="shared" ca="1" si="24"/>
        <v xml:space="preserve">23- </v>
      </c>
      <c r="C173" t="str">
        <f t="shared" ca="1" si="25"/>
        <v>45- 5.443 N</v>
      </c>
      <c r="D173" t="str">
        <f t="shared" ca="1" si="26"/>
        <v>pppp</v>
      </c>
      <c r="E173" t="str">
        <f t="shared" ca="1" si="27"/>
        <v>23- pppp45- 5.443 N</v>
      </c>
      <c r="F173" t="str">
        <f t="shared" ca="1" si="28"/>
        <v>23- pppp45- 5.443 N</v>
      </c>
      <c r="H173" t="s">
        <v>2657</v>
      </c>
      <c r="I173" t="str">
        <f t="shared" ca="1" si="29"/>
        <v xml:space="preserve">90- 20- </v>
      </c>
      <c r="J173" t="str">
        <f t="shared" ca="1" si="30"/>
        <v>2.249 E</v>
      </c>
      <c r="K173" t="str">
        <f t="shared" ca="1" si="31"/>
        <v>DDD</v>
      </c>
      <c r="L173" t="str">
        <f t="shared" ca="1" si="32"/>
        <v>90- 20- DDD2.249 E</v>
      </c>
      <c r="M173" t="str">
        <f t="shared" ca="1" si="33"/>
        <v>90- 20- DDD2.249 E</v>
      </c>
      <c r="N173">
        <f t="shared" ca="1" si="34"/>
        <v>23.751511944444445</v>
      </c>
      <c r="O173">
        <f t="shared" ca="1" si="35"/>
        <v>90.333958055555556</v>
      </c>
    </row>
    <row r="174" spans="1:15" x14ac:dyDescent="0.3">
      <c r="A174" t="s">
        <v>2164</v>
      </c>
      <c r="B174" t="str">
        <f t="shared" ca="1" si="24"/>
        <v>23- 45- 6.05</v>
      </c>
      <c r="C174" t="str">
        <f t="shared" ca="1" si="25"/>
        <v>1 N</v>
      </c>
      <c r="D174" t="str">
        <f t="shared" ca="1" si="26"/>
        <v>tttt</v>
      </c>
      <c r="E174" t="str">
        <f t="shared" ca="1" si="27"/>
        <v>23- 45- 6.05tttt1 N</v>
      </c>
      <c r="F174" t="str">
        <f t="shared" ca="1" si="28"/>
        <v>23- 45- 6.05tttt1 N</v>
      </c>
      <c r="H174" t="s">
        <v>2658</v>
      </c>
      <c r="I174" t="str">
        <f t="shared" ca="1" si="29"/>
        <v>90-</v>
      </c>
      <c r="J174" t="str">
        <f t="shared" ca="1" si="30"/>
        <v xml:space="preserve"> 20- 37.538 E</v>
      </c>
      <c r="K174" t="str">
        <f t="shared" ca="1" si="31"/>
        <v>]]</v>
      </c>
      <c r="L174" t="str">
        <f t="shared" ca="1" si="32"/>
        <v>90-]] 20- 37.538 E</v>
      </c>
      <c r="M174" t="str">
        <f t="shared" ca="1" si="33"/>
        <v>90-]] 20- 37.538 E</v>
      </c>
      <c r="N174">
        <f t="shared" ca="1" si="34"/>
        <v>23.751680833333332</v>
      </c>
      <c r="O174">
        <f t="shared" ca="1" si="35"/>
        <v>90.343760555555548</v>
      </c>
    </row>
    <row r="175" spans="1:15" x14ac:dyDescent="0.3">
      <c r="A175" t="s">
        <v>2165</v>
      </c>
      <c r="B175" t="str">
        <f t="shared" ca="1" si="24"/>
        <v>23- 45</v>
      </c>
      <c r="C175" t="str">
        <f t="shared" ca="1" si="25"/>
        <v>- 6.657 N</v>
      </c>
      <c r="D175" t="str">
        <f t="shared" ca="1" si="26"/>
        <v>vvvv</v>
      </c>
      <c r="E175" t="str">
        <f t="shared" ca="1" si="27"/>
        <v>23- 45vvvv- 6.657 N</v>
      </c>
      <c r="F175" t="str">
        <f t="shared" ca="1" si="28"/>
        <v>23- 45vvvv- 6.657 N</v>
      </c>
      <c r="H175" t="s">
        <v>2659</v>
      </c>
      <c r="I175" t="str">
        <f t="shared" ca="1" si="29"/>
        <v>90- 21- 1</v>
      </c>
      <c r="J175" t="str">
        <f t="shared" ca="1" si="30"/>
        <v>2.827 E</v>
      </c>
      <c r="K175" t="str">
        <f t="shared" ca="1" si="31"/>
        <v>ddddd</v>
      </c>
      <c r="L175" t="str">
        <f t="shared" ca="1" si="32"/>
        <v>90- 21- 1ddddd2.827 E</v>
      </c>
      <c r="M175" t="str">
        <f t="shared" ca="1" si="33"/>
        <v>90- 21- 1ddddd2.827 E</v>
      </c>
      <c r="N175">
        <f t="shared" ca="1" si="34"/>
        <v>23.751849166666666</v>
      </c>
      <c r="O175">
        <f t="shared" ca="1" si="35"/>
        <v>90.353563055555554</v>
      </c>
    </row>
    <row r="176" spans="1:15" x14ac:dyDescent="0.3">
      <c r="A176" t="s">
        <v>2166</v>
      </c>
      <c r="B176" t="str">
        <f t="shared" ca="1" si="24"/>
        <v xml:space="preserve">23- 45- 7.260 </v>
      </c>
      <c r="C176" t="str">
        <f t="shared" ca="1" si="25"/>
        <v>N</v>
      </c>
      <c r="D176" t="str">
        <f t="shared" ca="1" si="26"/>
        <v>NN</v>
      </c>
      <c r="E176" t="str">
        <f t="shared" ca="1" si="27"/>
        <v>23- 45- 7.260 NNN</v>
      </c>
      <c r="F176" t="str">
        <f t="shared" ca="1" si="28"/>
        <v>23- 45- 7.260 NNN</v>
      </c>
      <c r="H176" t="s">
        <v>2660</v>
      </c>
      <c r="I176" t="str">
        <f t="shared" ca="1" si="29"/>
        <v xml:space="preserve">90- 21- </v>
      </c>
      <c r="J176" t="str">
        <f t="shared" ca="1" si="30"/>
        <v>48.116 E</v>
      </c>
      <c r="K176" t="str">
        <f t="shared" ca="1" si="31"/>
        <v>yyy</v>
      </c>
      <c r="L176" t="str">
        <f t="shared" ca="1" si="32"/>
        <v>90- 21- yyy48.116 E</v>
      </c>
      <c r="M176" t="str">
        <f t="shared" ca="1" si="33"/>
        <v>90- 21- yyy48.116 E</v>
      </c>
      <c r="N176">
        <f t="shared" ca="1" si="34"/>
        <v>23.752016666666666</v>
      </c>
      <c r="O176">
        <f t="shared" ca="1" si="35"/>
        <v>90.363365555555546</v>
      </c>
    </row>
    <row r="177" spans="1:15" x14ac:dyDescent="0.3">
      <c r="A177" t="s">
        <v>2167</v>
      </c>
      <c r="B177" t="str">
        <f t="shared" ca="1" si="24"/>
        <v>23-</v>
      </c>
      <c r="C177" t="str">
        <f t="shared" ca="1" si="25"/>
        <v xml:space="preserve"> 45- 7.862 N</v>
      </c>
      <c r="D177" t="str">
        <f t="shared" ca="1" si="26"/>
        <v>iiii</v>
      </c>
      <c r="E177" t="str">
        <f t="shared" ca="1" si="27"/>
        <v>23-iiii 45- 7.862 N</v>
      </c>
      <c r="F177" t="str">
        <f t="shared" ca="1" si="28"/>
        <v>23-iiii 45- 7.862 N</v>
      </c>
      <c r="H177" t="s">
        <v>2661</v>
      </c>
      <c r="I177" t="str">
        <f t="shared" ca="1" si="29"/>
        <v>90- 22- 2</v>
      </c>
      <c r="J177" t="str">
        <f t="shared" ca="1" si="30"/>
        <v>3.405 E</v>
      </c>
      <c r="K177" t="str">
        <f t="shared" ca="1" si="31"/>
        <v>f</v>
      </c>
      <c r="L177" t="str">
        <f t="shared" ca="1" si="32"/>
        <v>90- 22- 2f3.405 E</v>
      </c>
      <c r="M177" t="str">
        <f t="shared" ca="1" si="33"/>
        <v>90- 22- 2f3.405 E</v>
      </c>
      <c r="N177">
        <f t="shared" ca="1" si="34"/>
        <v>23.75218388888889</v>
      </c>
      <c r="O177">
        <f t="shared" ca="1" si="35"/>
        <v>90.373168055555553</v>
      </c>
    </row>
    <row r="178" spans="1:15" x14ac:dyDescent="0.3">
      <c r="A178" t="s">
        <v>2168</v>
      </c>
      <c r="B178" t="str">
        <f t="shared" ca="1" si="24"/>
        <v>23- 45- 8.4</v>
      </c>
      <c r="C178" t="str">
        <f t="shared" ca="1" si="25"/>
        <v>61 N</v>
      </c>
      <c r="D178" t="str">
        <f t="shared" ca="1" si="26"/>
        <v>k</v>
      </c>
      <c r="E178" t="str">
        <f t="shared" ca="1" si="27"/>
        <v>23- 45- 8.4k61 N</v>
      </c>
      <c r="F178" t="str">
        <f t="shared" ca="1" si="28"/>
        <v>23- 45- 8.4k61 N</v>
      </c>
      <c r="H178" t="s">
        <v>2662</v>
      </c>
      <c r="I178" t="str">
        <f t="shared" ca="1" si="29"/>
        <v>90- 22</v>
      </c>
      <c r="J178" t="str">
        <f t="shared" ca="1" si="30"/>
        <v>- 58.695 E</v>
      </c>
      <c r="K178" t="str">
        <f t="shared" ca="1" si="31"/>
        <v>RRRRR</v>
      </c>
      <c r="L178" t="str">
        <f t="shared" ca="1" si="32"/>
        <v>90- 22RRRRR- 58.695 E</v>
      </c>
      <c r="M178" t="str">
        <f t="shared" ca="1" si="33"/>
        <v>90- 22RRRRR- 58.695 E</v>
      </c>
      <c r="N178">
        <f t="shared" ca="1" si="34"/>
        <v>23.752350277777779</v>
      </c>
      <c r="O178">
        <f t="shared" ca="1" si="35"/>
        <v>90.382970833333331</v>
      </c>
    </row>
    <row r="179" spans="1:15" x14ac:dyDescent="0.3">
      <c r="A179" t="s">
        <v>2169</v>
      </c>
      <c r="B179" t="str">
        <f t="shared" ca="1" si="24"/>
        <v>23- 45- 9.05</v>
      </c>
      <c r="C179" t="str">
        <f t="shared" ca="1" si="25"/>
        <v>8 N</v>
      </c>
      <c r="D179" t="str">
        <f t="shared" ca="1" si="26"/>
        <v>zzz</v>
      </c>
      <c r="E179" t="str">
        <f t="shared" ca="1" si="27"/>
        <v>23- 45- 9.05zzz8 N</v>
      </c>
      <c r="F179" t="str">
        <f t="shared" ca="1" si="28"/>
        <v>23- 45- 9.05zzz8 N</v>
      </c>
      <c r="H179" t="s">
        <v>2663</v>
      </c>
      <c r="I179" t="str">
        <f t="shared" ca="1" si="29"/>
        <v>90- 23- 33.9</v>
      </c>
      <c r="J179" t="str">
        <f t="shared" ca="1" si="30"/>
        <v>86 E</v>
      </c>
      <c r="K179" t="str">
        <f t="shared" ca="1" si="31"/>
        <v>qqqq</v>
      </c>
      <c r="L179" t="str">
        <f t="shared" ca="1" si="32"/>
        <v>90- 23- 33.9qqqq86 E</v>
      </c>
      <c r="M179" t="str">
        <f t="shared" ca="1" si="33"/>
        <v>90- 23- 33.9qqqq86 E</v>
      </c>
      <c r="N179">
        <f t="shared" ca="1" si="34"/>
        <v>23.75251611111111</v>
      </c>
      <c r="O179">
        <f t="shared" ca="1" si="35"/>
        <v>90.392773888888897</v>
      </c>
    </row>
    <row r="180" spans="1:15" x14ac:dyDescent="0.3">
      <c r="A180" t="s">
        <v>2170</v>
      </c>
      <c r="B180" t="str">
        <f t="shared" ca="1" si="24"/>
        <v>23- 4</v>
      </c>
      <c r="C180" t="str">
        <f t="shared" ca="1" si="25"/>
        <v>5- 9.652 N</v>
      </c>
      <c r="D180" t="str">
        <f t="shared" ca="1" si="26"/>
        <v>I</v>
      </c>
      <c r="E180" t="str">
        <f t="shared" ca="1" si="27"/>
        <v>23- 4I5- 9.652 N</v>
      </c>
      <c r="F180" t="str">
        <f t="shared" ca="1" si="28"/>
        <v>23- 4I5- 9.652 N</v>
      </c>
      <c r="H180" t="s">
        <v>2664</v>
      </c>
      <c r="I180" t="str">
        <f t="shared" ca="1" si="29"/>
        <v>9</v>
      </c>
      <c r="J180" t="str">
        <f t="shared" ca="1" si="30"/>
        <v>0- 24- .276 E</v>
      </c>
      <c r="K180" t="str">
        <f t="shared" ca="1" si="31"/>
        <v>~~~~</v>
      </c>
      <c r="L180" t="str">
        <f t="shared" ca="1" si="32"/>
        <v>9~~~~0- 24- .276 E</v>
      </c>
      <c r="M180" t="str">
        <f t="shared" ca="1" si="33"/>
        <v>9~~~~0- 24- .276 E</v>
      </c>
      <c r="N180">
        <f t="shared" ca="1" si="34"/>
        <v>23.752681111111112</v>
      </c>
      <c r="O180">
        <f t="shared" ca="1" si="35"/>
        <v>90.400076666666678</v>
      </c>
    </row>
    <row r="181" spans="1:15" x14ac:dyDescent="0.3">
      <c r="A181" t="s">
        <v>2171</v>
      </c>
      <c r="B181" t="str">
        <f t="shared" ca="1" si="24"/>
        <v>23- 45- 10.245 N</v>
      </c>
      <c r="C181" t="str">
        <f t="shared" ca="1" si="25"/>
        <v/>
      </c>
      <c r="D181" t="str">
        <f t="shared" ca="1" si="26"/>
        <v>NN</v>
      </c>
      <c r="E181" t="str">
        <f t="shared" ca="1" si="27"/>
        <v>23- 45- 10.245 NNN</v>
      </c>
      <c r="F181" t="str">
        <f t="shared" ca="1" si="28"/>
        <v>23- 45- 10.245 NNN</v>
      </c>
      <c r="H181" t="s">
        <v>2665</v>
      </c>
      <c r="I181" t="str">
        <f t="shared" ca="1" si="29"/>
        <v>90- 24- 44.567</v>
      </c>
      <c r="J181" t="str">
        <f t="shared" ca="1" si="30"/>
        <v xml:space="preserve"> E</v>
      </c>
      <c r="K181" t="str">
        <f t="shared" ca="1" si="31"/>
        <v>nn</v>
      </c>
      <c r="L181" t="str">
        <f t="shared" ca="1" si="32"/>
        <v>90- 24- 44.567nn E</v>
      </c>
      <c r="M181" t="str">
        <f t="shared" ca="1" si="33"/>
        <v>90- 24- 44.567nn E</v>
      </c>
      <c r="N181">
        <f t="shared" ca="1" si="34"/>
        <v>23.752845833333332</v>
      </c>
      <c r="O181">
        <f t="shared" ca="1" si="35"/>
        <v>90.412379722222227</v>
      </c>
    </row>
    <row r="182" spans="1:15" x14ac:dyDescent="0.3">
      <c r="A182" t="s">
        <v>2172</v>
      </c>
      <c r="B182" t="str">
        <f t="shared" ca="1" si="24"/>
        <v xml:space="preserve">23- </v>
      </c>
      <c r="C182" t="str">
        <f t="shared" ca="1" si="25"/>
        <v>45- 10.835 N</v>
      </c>
      <c r="D182" t="str">
        <f t="shared" ca="1" si="26"/>
        <v>kkk</v>
      </c>
      <c r="E182" t="str">
        <f t="shared" ca="1" si="27"/>
        <v>23- kkk45- 10.835 N</v>
      </c>
      <c r="F182" t="str">
        <f t="shared" ca="1" si="28"/>
        <v>23- kkk45- 10.835 N</v>
      </c>
      <c r="H182" t="s">
        <v>2666</v>
      </c>
      <c r="I182" t="str">
        <f t="shared" ca="1" si="29"/>
        <v xml:space="preserve">90- </v>
      </c>
      <c r="J182" t="str">
        <f t="shared" ca="1" si="30"/>
        <v>25- 19.858 E</v>
      </c>
      <c r="K182" t="str">
        <f t="shared" ca="1" si="31"/>
        <v>cccc</v>
      </c>
      <c r="L182" t="str">
        <f t="shared" ca="1" si="32"/>
        <v>90- cccc25- 19.858 E</v>
      </c>
      <c r="M182" t="str">
        <f t="shared" ca="1" si="33"/>
        <v>90- cccc25- 19.858 E</v>
      </c>
      <c r="N182">
        <f t="shared" ca="1" si="34"/>
        <v>23.753009722222224</v>
      </c>
      <c r="O182">
        <f t="shared" ca="1" si="35"/>
        <v>90.422182777777778</v>
      </c>
    </row>
    <row r="183" spans="1:15" x14ac:dyDescent="0.3">
      <c r="A183" t="s">
        <v>2173</v>
      </c>
      <c r="B183" t="str">
        <f t="shared" ca="1" si="24"/>
        <v xml:space="preserve">23- 45- 11.423 </v>
      </c>
      <c r="C183" t="str">
        <f t="shared" ca="1" si="25"/>
        <v>N</v>
      </c>
      <c r="D183" t="str">
        <f t="shared" ca="1" si="26"/>
        <v>```</v>
      </c>
      <c r="E183" t="str">
        <f t="shared" ca="1" si="27"/>
        <v>23- 45- 11.423 ```N</v>
      </c>
      <c r="F183" t="str">
        <f t="shared" ca="1" si="28"/>
        <v>23- 45- 11.423 ```N</v>
      </c>
      <c r="H183" t="s">
        <v>2667</v>
      </c>
      <c r="I183" t="str">
        <f t="shared" ca="1" si="29"/>
        <v>90- 2</v>
      </c>
      <c r="J183" t="str">
        <f t="shared" ca="1" si="30"/>
        <v>5- 55.150 E</v>
      </c>
      <c r="K183" t="str">
        <f t="shared" ca="1" si="31"/>
        <v>AAA</v>
      </c>
      <c r="L183" t="str">
        <f t="shared" ca="1" si="32"/>
        <v>90- 2AAA5- 55.150 E</v>
      </c>
      <c r="M183" t="str">
        <f t="shared" ca="1" si="33"/>
        <v>90- 2AAA5- 55.150 E</v>
      </c>
      <c r="N183">
        <f t="shared" ca="1" si="34"/>
        <v>23.753173055555557</v>
      </c>
      <c r="O183">
        <f t="shared" ca="1" si="35"/>
        <v>90.431986111111115</v>
      </c>
    </row>
    <row r="184" spans="1:15" x14ac:dyDescent="0.3">
      <c r="A184" t="s">
        <v>2174</v>
      </c>
      <c r="B184" t="str">
        <f t="shared" ca="1" si="24"/>
        <v xml:space="preserve">23- </v>
      </c>
      <c r="C184" t="str">
        <f t="shared" ca="1" si="25"/>
        <v>45- 12.009 N</v>
      </c>
      <c r="D184" t="str">
        <f t="shared" ca="1" si="26"/>
        <v>ppppp</v>
      </c>
      <c r="E184" t="str">
        <f t="shared" ca="1" si="27"/>
        <v>23- ppppp45- 12.009 N</v>
      </c>
      <c r="F184" t="str">
        <f t="shared" ca="1" si="28"/>
        <v>23- ppppp45- 12.009 N</v>
      </c>
      <c r="H184" t="s">
        <v>2668</v>
      </c>
      <c r="I184" t="str">
        <f t="shared" ca="1" si="29"/>
        <v>90- 26- 30.442 E</v>
      </c>
      <c r="J184" t="str">
        <f t="shared" ca="1" si="30"/>
        <v/>
      </c>
      <c r="K184" t="str">
        <f t="shared" ca="1" si="31"/>
        <v>UUU</v>
      </c>
      <c r="L184" t="str">
        <f t="shared" ca="1" si="32"/>
        <v>90- 26- 30.442 EUUU</v>
      </c>
      <c r="M184" t="str">
        <f t="shared" ca="1" si="33"/>
        <v>90- 26- 30.442 EUUU</v>
      </c>
      <c r="N184">
        <f t="shared" ca="1" si="34"/>
        <v>23.753335833333335</v>
      </c>
      <c r="O184">
        <f t="shared" ca="1" si="35"/>
        <v>90.441789444444453</v>
      </c>
    </row>
    <row r="185" spans="1:15" x14ac:dyDescent="0.3">
      <c r="A185" t="s">
        <v>2175</v>
      </c>
      <c r="B185" t="str">
        <f t="shared" ca="1" si="24"/>
        <v xml:space="preserve">23- </v>
      </c>
      <c r="C185" t="str">
        <f t="shared" ca="1" si="25"/>
        <v>45- 12.592 N</v>
      </c>
      <c r="D185" t="str">
        <f t="shared" ca="1" si="26"/>
        <v>__</v>
      </c>
      <c r="E185" t="str">
        <f t="shared" ca="1" si="27"/>
        <v>23- __45- 12.592 N</v>
      </c>
      <c r="F185" t="str">
        <f t="shared" ca="1" si="28"/>
        <v>23- __45- 12.592 N</v>
      </c>
      <c r="H185" t="s">
        <v>2669</v>
      </c>
      <c r="I185" t="str">
        <f t="shared" ca="1" si="29"/>
        <v>90- 27-</v>
      </c>
      <c r="J185" t="str">
        <f t="shared" ca="1" si="30"/>
        <v xml:space="preserve"> 5.734 E</v>
      </c>
      <c r="K185" t="str">
        <f t="shared" ca="1" si="31"/>
        <v>RRRRR</v>
      </c>
      <c r="L185" t="str">
        <f t="shared" ca="1" si="32"/>
        <v>90- 27-RRRRR 5.734 E</v>
      </c>
      <c r="M185" t="str">
        <f t="shared" ca="1" si="33"/>
        <v>90- 27-RRRRR 5.734 E</v>
      </c>
      <c r="N185">
        <f t="shared" ca="1" si="34"/>
        <v>23.753497777777778</v>
      </c>
      <c r="O185">
        <f t="shared" ca="1" si="35"/>
        <v>90.451592777777776</v>
      </c>
    </row>
    <row r="186" spans="1:15" x14ac:dyDescent="0.3">
      <c r="A186" t="s">
        <v>2176</v>
      </c>
      <c r="B186" t="str">
        <f t="shared" ca="1" si="24"/>
        <v>23- 4</v>
      </c>
      <c r="C186" t="str">
        <f t="shared" ca="1" si="25"/>
        <v>5- 13.173 N</v>
      </c>
      <c r="D186" t="str">
        <f t="shared" ca="1" si="26"/>
        <v>YYYY</v>
      </c>
      <c r="E186" t="str">
        <f t="shared" ca="1" si="27"/>
        <v>23- 4YYYY5- 13.173 N</v>
      </c>
      <c r="F186" t="str">
        <f t="shared" ca="1" si="28"/>
        <v>23- 4YYYY5- 13.173 N</v>
      </c>
      <c r="H186" t="s">
        <v>2670</v>
      </c>
      <c r="I186" t="str">
        <f t="shared" ca="1" si="29"/>
        <v>9</v>
      </c>
      <c r="J186" t="str">
        <f t="shared" ca="1" si="30"/>
        <v>0- 27- 41.026 E</v>
      </c>
      <c r="K186" t="str">
        <f t="shared" ca="1" si="31"/>
        <v>e</v>
      </c>
      <c r="L186" t="str">
        <f t="shared" ca="1" si="32"/>
        <v>9e0- 27- 41.026 E</v>
      </c>
      <c r="M186" t="str">
        <f t="shared" ca="1" si="33"/>
        <v>9e0- 27- 41.026 E</v>
      </c>
      <c r="N186">
        <f t="shared" ca="1" si="34"/>
        <v>23.753659166666665</v>
      </c>
      <c r="O186">
        <f t="shared" ca="1" si="35"/>
        <v>90.461396111111114</v>
      </c>
    </row>
    <row r="187" spans="1:15" x14ac:dyDescent="0.3">
      <c r="A187" t="s">
        <v>2177</v>
      </c>
      <c r="B187" t="str">
        <f t="shared" ca="1" si="24"/>
        <v>2</v>
      </c>
      <c r="C187" t="str">
        <f t="shared" ca="1" si="25"/>
        <v>3- 45- 13.75 N</v>
      </c>
      <c r="D187" t="str">
        <f t="shared" ca="1" si="26"/>
        <v>jjjj</v>
      </c>
      <c r="E187" t="str">
        <f t="shared" ca="1" si="27"/>
        <v>2jjjj3- 45- 13.75 N</v>
      </c>
      <c r="F187" t="str">
        <f t="shared" ca="1" si="28"/>
        <v>2jjjj3- 45- 13.75 N</v>
      </c>
      <c r="H187" t="s">
        <v>2671</v>
      </c>
      <c r="I187" t="str">
        <f t="shared" ca="1" si="29"/>
        <v>90- 28</v>
      </c>
      <c r="J187" t="str">
        <f t="shared" ca="1" si="30"/>
        <v>- 16.319 E</v>
      </c>
      <c r="K187" t="str">
        <f t="shared" ca="1" si="31"/>
        <v>f</v>
      </c>
      <c r="L187" t="str">
        <f t="shared" ca="1" si="32"/>
        <v>90- 28f- 16.319 E</v>
      </c>
      <c r="M187" t="str">
        <f t="shared" ca="1" si="33"/>
        <v>90- 28f- 16.319 E</v>
      </c>
      <c r="N187">
        <f t="shared" ca="1" si="34"/>
        <v>23.753819444444446</v>
      </c>
      <c r="O187">
        <f t="shared" ca="1" si="35"/>
        <v>90.471199722222224</v>
      </c>
    </row>
    <row r="188" spans="1:15" x14ac:dyDescent="0.3">
      <c r="A188" t="s">
        <v>2178</v>
      </c>
      <c r="B188" t="str">
        <f t="shared" ca="1" si="24"/>
        <v>23- 45- 14.</v>
      </c>
      <c r="C188" t="str">
        <f t="shared" ca="1" si="25"/>
        <v>329 N</v>
      </c>
      <c r="D188" t="str">
        <f t="shared" ca="1" si="26"/>
        <v>[[[</v>
      </c>
      <c r="E188" t="str">
        <f t="shared" ca="1" si="27"/>
        <v>23- 45- 14.[[[329 N</v>
      </c>
      <c r="F188" t="str">
        <f t="shared" ca="1" si="28"/>
        <v>23- 45- 14.[[[329 N</v>
      </c>
      <c r="H188" t="s">
        <v>2672</v>
      </c>
      <c r="I188" t="str">
        <f t="shared" ca="1" si="29"/>
        <v xml:space="preserve">90- </v>
      </c>
      <c r="J188" t="str">
        <f t="shared" ca="1" si="30"/>
        <v>28- 51.612 E</v>
      </c>
      <c r="K188" t="str">
        <f t="shared" ca="1" si="31"/>
        <v>vv</v>
      </c>
      <c r="L188" t="str">
        <f t="shared" ca="1" si="32"/>
        <v>90- vv28- 51.612 E</v>
      </c>
      <c r="M188" t="str">
        <f t="shared" ca="1" si="33"/>
        <v>90- vv28- 51.612 E</v>
      </c>
      <c r="N188">
        <f t="shared" ca="1" si="34"/>
        <v>23.753980277777778</v>
      </c>
      <c r="O188">
        <f t="shared" ca="1" si="35"/>
        <v>90.481003333333334</v>
      </c>
    </row>
    <row r="189" spans="1:15" x14ac:dyDescent="0.3">
      <c r="A189" t="s">
        <v>2179</v>
      </c>
      <c r="B189" t="str">
        <f t="shared" ca="1" si="24"/>
        <v xml:space="preserve">23- 45- 14.904 </v>
      </c>
      <c r="C189" t="str">
        <f t="shared" ca="1" si="25"/>
        <v>N</v>
      </c>
      <c r="D189" t="str">
        <f t="shared" ca="1" si="26"/>
        <v>ff</v>
      </c>
      <c r="E189" t="str">
        <f t="shared" ca="1" si="27"/>
        <v>23- 45- 14.904 ffN</v>
      </c>
      <c r="F189" t="str">
        <f t="shared" ca="1" si="28"/>
        <v>23- 45- 14.904 ffN</v>
      </c>
      <c r="H189" t="s">
        <v>2673</v>
      </c>
      <c r="I189" t="str">
        <f t="shared" ca="1" si="29"/>
        <v>90- 2</v>
      </c>
      <c r="J189" t="str">
        <f t="shared" ca="1" si="30"/>
        <v>9- 26.906 E</v>
      </c>
      <c r="K189" t="str">
        <f t="shared" ca="1" si="31"/>
        <v>WWWW</v>
      </c>
      <c r="L189" t="str">
        <f t="shared" ca="1" si="32"/>
        <v>90- 2WWWW9- 26.906 E</v>
      </c>
      <c r="M189" t="str">
        <f t="shared" ca="1" si="33"/>
        <v>90- 2WWWW9- 26.906 E</v>
      </c>
      <c r="N189">
        <f t="shared" ca="1" si="34"/>
        <v>23.75414</v>
      </c>
      <c r="O189">
        <f t="shared" ca="1" si="35"/>
        <v>90.49080722222223</v>
      </c>
    </row>
    <row r="190" spans="1:15" x14ac:dyDescent="0.3">
      <c r="A190" t="s">
        <v>2180</v>
      </c>
      <c r="B190" t="str">
        <f t="shared" ca="1" si="24"/>
        <v>23- 45- 15.</v>
      </c>
      <c r="C190" t="str">
        <f t="shared" ca="1" si="25"/>
        <v>476 N</v>
      </c>
      <c r="D190" t="str">
        <f t="shared" ca="1" si="26"/>
        <v>ttttt</v>
      </c>
      <c r="E190" t="str">
        <f t="shared" ca="1" si="27"/>
        <v>23- 45- 15.ttttt476 N</v>
      </c>
      <c r="F190" t="str">
        <f t="shared" ca="1" si="28"/>
        <v>23- 45- 15.ttttt476 N</v>
      </c>
      <c r="H190" t="s">
        <v>2674</v>
      </c>
      <c r="I190" t="str">
        <f t="shared" ca="1" si="29"/>
        <v xml:space="preserve">90- </v>
      </c>
      <c r="J190" t="str">
        <f t="shared" ca="1" si="30"/>
        <v>30- 2.199 E</v>
      </c>
      <c r="K190" t="str">
        <f t="shared" ca="1" si="31"/>
        <v>[[[[[</v>
      </c>
      <c r="L190" t="str">
        <f t="shared" ca="1" si="32"/>
        <v>90- [[[[[30- 2.199 E</v>
      </c>
      <c r="M190" t="str">
        <f t="shared" ca="1" si="33"/>
        <v>90- [[[[[30- 2.199 E</v>
      </c>
      <c r="N190">
        <f t="shared" ca="1" si="34"/>
        <v>23.75429888888889</v>
      </c>
      <c r="O190">
        <f t="shared" ca="1" si="35"/>
        <v>90.50061083333334</v>
      </c>
    </row>
    <row r="191" spans="1:15" x14ac:dyDescent="0.3">
      <c r="A191" t="s">
        <v>2181</v>
      </c>
      <c r="B191" t="str">
        <f t="shared" ca="1" si="24"/>
        <v xml:space="preserve">23- 45- 16.046 </v>
      </c>
      <c r="C191" t="str">
        <f t="shared" ca="1" si="25"/>
        <v>N</v>
      </c>
      <c r="D191" t="str">
        <f t="shared" ca="1" si="26"/>
        <v>^^^</v>
      </c>
      <c r="E191" t="str">
        <f t="shared" ca="1" si="27"/>
        <v>23- 45- 16.046 ^^^N</v>
      </c>
      <c r="F191" t="str">
        <f t="shared" ca="1" si="28"/>
        <v>23- 45- 16.046 ^^^N</v>
      </c>
      <c r="H191" t="s">
        <v>2675</v>
      </c>
      <c r="I191" t="str">
        <f t="shared" ca="1" si="29"/>
        <v>90</v>
      </c>
      <c r="J191" t="str">
        <f t="shared" ca="1" si="30"/>
        <v>- 30- 37.493 E</v>
      </c>
      <c r="K191" t="str">
        <f t="shared" ca="1" si="31"/>
        <v>MM</v>
      </c>
      <c r="L191" t="str">
        <f t="shared" ca="1" si="32"/>
        <v>90MM- 30- 37.493 E</v>
      </c>
      <c r="M191" t="str">
        <f t="shared" ca="1" si="33"/>
        <v>90MM- 30- 37.493 E</v>
      </c>
      <c r="N191">
        <f t="shared" ca="1" si="34"/>
        <v>23.754457222222221</v>
      </c>
      <c r="O191">
        <f t="shared" ca="1" si="35"/>
        <v>90.510414722222222</v>
      </c>
    </row>
    <row r="192" spans="1:15" x14ac:dyDescent="0.3">
      <c r="A192" t="s">
        <v>2182</v>
      </c>
      <c r="B192" t="str">
        <f t="shared" ca="1" si="24"/>
        <v xml:space="preserve">23- 45- </v>
      </c>
      <c r="C192" t="str">
        <f t="shared" ca="1" si="25"/>
        <v>37.925 N</v>
      </c>
      <c r="D192" t="str">
        <f t="shared" ca="1" si="26"/>
        <v>B</v>
      </c>
      <c r="E192" t="str">
        <f t="shared" ca="1" si="27"/>
        <v>23- 45- B37.925 N</v>
      </c>
      <c r="F192" t="str">
        <f t="shared" ca="1" si="28"/>
        <v>23- 45- B37.925 N</v>
      </c>
      <c r="H192" t="s">
        <v>2676</v>
      </c>
      <c r="I192" t="str">
        <f t="shared" ca="1" si="29"/>
        <v>90</v>
      </c>
      <c r="J192" t="str">
        <f t="shared" ca="1" si="30"/>
        <v>- 20- 1.587 E</v>
      </c>
      <c r="K192" t="str">
        <f t="shared" ca="1" si="31"/>
        <v>ddddd</v>
      </c>
      <c r="L192" t="str">
        <f t="shared" ca="1" si="32"/>
        <v>90ddddd- 20- 1.587 E</v>
      </c>
      <c r="M192" t="str">
        <f t="shared" ca="1" si="33"/>
        <v>90ddddd- 20- 1.587 E</v>
      </c>
      <c r="N192">
        <f t="shared" ca="1" si="34"/>
        <v>23.760534722222221</v>
      </c>
      <c r="O192">
        <f t="shared" ca="1" si="35"/>
        <v>90.333774166666657</v>
      </c>
    </row>
    <row r="193" spans="1:15" x14ac:dyDescent="0.3">
      <c r="A193" t="s">
        <v>2183</v>
      </c>
      <c r="B193" t="str">
        <f t="shared" ca="1" si="24"/>
        <v>23- 45- 38.53</v>
      </c>
      <c r="C193" t="str">
        <f t="shared" ca="1" si="25"/>
        <v>3 N</v>
      </c>
      <c r="D193" t="str">
        <f t="shared" ca="1" si="26"/>
        <v>jjjj</v>
      </c>
      <c r="E193" t="str">
        <f t="shared" ca="1" si="27"/>
        <v>23- 45- 38.53jjjj3 N</v>
      </c>
      <c r="F193" t="str">
        <f t="shared" ca="1" si="28"/>
        <v>23- 45- 38.53jjjj3 N</v>
      </c>
      <c r="H193" t="s">
        <v>2677</v>
      </c>
      <c r="I193" t="str">
        <f t="shared" ca="1" si="29"/>
        <v>9</v>
      </c>
      <c r="J193" t="str">
        <f t="shared" ca="1" si="30"/>
        <v>0- 20- 36.878 E</v>
      </c>
      <c r="K193" t="str">
        <f t="shared" ca="1" si="31"/>
        <v>LLLL</v>
      </c>
      <c r="L193" t="str">
        <f t="shared" ca="1" si="32"/>
        <v>9LLLL0- 20- 36.878 E</v>
      </c>
      <c r="M193" t="str">
        <f t="shared" ca="1" si="33"/>
        <v>9LLLL0- 20- 36.878 E</v>
      </c>
      <c r="N193">
        <f t="shared" ca="1" si="34"/>
        <v>23.760703611111111</v>
      </c>
      <c r="O193">
        <f t="shared" ca="1" si="35"/>
        <v>90.343577222222223</v>
      </c>
    </row>
    <row r="194" spans="1:15" x14ac:dyDescent="0.3">
      <c r="A194" t="s">
        <v>2184</v>
      </c>
      <c r="B194" t="str">
        <f t="shared" ref="B194:B257" ca="1" si="36">LEFT(A194,RANDBETWEEN(1,LEN(A194)))</f>
        <v>2</v>
      </c>
      <c r="C194" t="str">
        <f t="shared" ref="C194:C257" ca="1" si="37">SUBSTITUTE(A194,B194,"")</f>
        <v>3- 45- 39.139 N</v>
      </c>
      <c r="D194" t="str">
        <f t="shared" ca="1" si="26"/>
        <v>RRR</v>
      </c>
      <c r="E194" t="str">
        <f t="shared" ca="1" si="27"/>
        <v>2RRR3- 45- 39.139 N</v>
      </c>
      <c r="F194" t="str">
        <f t="shared" ca="1" si="28"/>
        <v>2RRR3- 45- 39.139 N</v>
      </c>
      <c r="H194" t="s">
        <v>2678</v>
      </c>
      <c r="I194" t="str">
        <f t="shared" ca="1" si="29"/>
        <v>90-</v>
      </c>
      <c r="J194" t="str">
        <f t="shared" ca="1" si="30"/>
        <v xml:space="preserve"> 21- 12.169 E</v>
      </c>
      <c r="K194" t="str">
        <f t="shared" ca="1" si="31"/>
        <v>bbbbb</v>
      </c>
      <c r="L194" t="str">
        <f t="shared" ca="1" si="32"/>
        <v>90-bbbbb 21- 12.169 E</v>
      </c>
      <c r="M194" t="str">
        <f t="shared" ca="1" si="33"/>
        <v>90-bbbbb 21- 12.169 E</v>
      </c>
      <c r="N194">
        <f t="shared" ca="1" si="34"/>
        <v>23.760871944444446</v>
      </c>
      <c r="O194">
        <f t="shared" ca="1" si="35"/>
        <v>90.353380277777774</v>
      </c>
    </row>
    <row r="195" spans="1:15" x14ac:dyDescent="0.3">
      <c r="A195" t="s">
        <v>2185</v>
      </c>
      <c r="B195" t="str">
        <f t="shared" ca="1" si="36"/>
        <v>23- 45- 39.</v>
      </c>
      <c r="C195" t="str">
        <f t="shared" ca="1" si="37"/>
        <v>743 N</v>
      </c>
      <c r="D195" t="str">
        <f t="shared" ref="D195:D258" ca="1" si="38">IF(ISERROR(REPT(CHAR(RANDBETWEEN(65,128)),RANDBETWEEN(1,5))),"ee",(REPT(CHAR(RANDBETWEEN(65,128)),RANDBETWEEN(1,5))))</f>
        <v>PPP</v>
      </c>
      <c r="E195" t="str">
        <f t="shared" ref="E195:E258" ca="1" si="39">B195&amp;D195&amp;C195</f>
        <v>23- 45- 39.PPP743 N</v>
      </c>
      <c r="F195" t="str">
        <f t="shared" ref="F195:F258" ca="1" si="40">E195</f>
        <v>23- 45- 39.PPP743 N</v>
      </c>
      <c r="H195" t="s">
        <v>2679</v>
      </c>
      <c r="I195" t="str">
        <f t="shared" ref="I195:I258" ca="1" si="41">LEFT(H195,RANDBETWEEN(1,LEN(H195)))</f>
        <v>90- 21- 47</v>
      </c>
      <c r="J195" t="str">
        <f t="shared" ref="J195:J258" ca="1" si="42">SUBSTITUTE(H195,I195,"")</f>
        <v>.461 E</v>
      </c>
      <c r="K195" t="str">
        <f t="shared" ref="K195:K258" ca="1" si="43">IF(ISERROR(REPT(CHAR(RANDBETWEEN(65,128)),RANDBETWEEN(1,5))),"ee",(REPT(CHAR(RANDBETWEEN(65,128)),RANDBETWEEN(1,5))))</f>
        <v>cc</v>
      </c>
      <c r="L195" t="str">
        <f t="shared" ref="L195:L258" ca="1" si="44">I195&amp;K195&amp;J195</f>
        <v>90- 21- 47cc.461 E</v>
      </c>
      <c r="M195" t="str">
        <f t="shared" ref="M195:M258" ca="1" si="45">L195</f>
        <v>90- 21- 47cc.461 E</v>
      </c>
      <c r="N195">
        <f t="shared" ref="N195:N258" ca="1" si="46">DecimalDegreesConverter(F195,,,"-")</f>
        <v>23.761039722222222</v>
      </c>
      <c r="O195">
        <f t="shared" ref="O195:O258" ca="1" si="47">DecimalDegreesConverter(M195,,,"-")</f>
        <v>90.363183611111111</v>
      </c>
    </row>
    <row r="196" spans="1:15" x14ac:dyDescent="0.3">
      <c r="A196" t="s">
        <v>2186</v>
      </c>
      <c r="B196" t="str">
        <f t="shared" ca="1" si="36"/>
        <v>23- 45- 40</v>
      </c>
      <c r="C196" t="str">
        <f t="shared" ca="1" si="37"/>
        <v>.344 N</v>
      </c>
      <c r="D196" t="str">
        <f t="shared" ca="1" si="38"/>
        <v>___</v>
      </c>
      <c r="E196" t="str">
        <f t="shared" ca="1" si="39"/>
        <v>23- 45- 40___.344 N</v>
      </c>
      <c r="F196" t="str">
        <f t="shared" ca="1" si="40"/>
        <v>23- 45- 40___.344 N</v>
      </c>
      <c r="H196" t="s">
        <v>2680</v>
      </c>
      <c r="I196" t="str">
        <f t="shared" ca="1" si="41"/>
        <v>90</v>
      </c>
      <c r="J196" t="str">
        <f t="shared" ca="1" si="42"/>
        <v>- 22- 22.753 E</v>
      </c>
      <c r="K196" t="str">
        <f t="shared" ca="1" si="43"/>
        <v>eee</v>
      </c>
      <c r="L196" t="str">
        <f t="shared" ca="1" si="44"/>
        <v>90eee- 22- 22.753 E</v>
      </c>
      <c r="M196" t="str">
        <f t="shared" ca="1" si="45"/>
        <v>90eee- 22- 22.753 E</v>
      </c>
      <c r="N196">
        <f t="shared" ca="1" si="46"/>
        <v>23.761206666666666</v>
      </c>
      <c r="O196">
        <f t="shared" ca="1" si="47"/>
        <v>90.372986944444435</v>
      </c>
    </row>
    <row r="197" spans="1:15" x14ac:dyDescent="0.3">
      <c r="A197" t="s">
        <v>2187</v>
      </c>
      <c r="B197" t="str">
        <f t="shared" ca="1" si="36"/>
        <v>23- 45- 40.</v>
      </c>
      <c r="C197" t="str">
        <f t="shared" ca="1" si="37"/>
        <v>944 N</v>
      </c>
      <c r="D197" t="str">
        <f t="shared" ca="1" si="38"/>
        <v>d</v>
      </c>
      <c r="E197" t="str">
        <f t="shared" ca="1" si="39"/>
        <v>23- 45- 40.d944 N</v>
      </c>
      <c r="F197" t="str">
        <f t="shared" ca="1" si="40"/>
        <v>23- 45- 40.d944 N</v>
      </c>
      <c r="H197" t="s">
        <v>2681</v>
      </c>
      <c r="I197" t="str">
        <f t="shared" ca="1" si="41"/>
        <v>90- 22- 58.0</v>
      </c>
      <c r="J197" t="str">
        <f t="shared" ca="1" si="42"/>
        <v>46 E</v>
      </c>
      <c r="K197" t="str">
        <f t="shared" ca="1" si="43"/>
        <v>cccc</v>
      </c>
      <c r="L197" t="str">
        <f t="shared" ca="1" si="44"/>
        <v>90- 22- 58.0cccc46 E</v>
      </c>
      <c r="M197" t="str">
        <f t="shared" ca="1" si="45"/>
        <v>90- 22- 58.0cccc46 E</v>
      </c>
      <c r="N197">
        <f t="shared" ca="1" si="46"/>
        <v>23.761373333333335</v>
      </c>
      <c r="O197">
        <f t="shared" ca="1" si="47"/>
        <v>90.382790555555545</v>
      </c>
    </row>
    <row r="198" spans="1:15" x14ac:dyDescent="0.3">
      <c r="A198" t="s">
        <v>2188</v>
      </c>
      <c r="B198" t="str">
        <f t="shared" ca="1" si="36"/>
        <v>23</v>
      </c>
      <c r="C198" t="str">
        <f t="shared" ca="1" si="37"/>
        <v>- 45- 41.541 N</v>
      </c>
      <c r="D198" t="str">
        <f t="shared" ca="1" si="38"/>
        <v>r</v>
      </c>
      <c r="E198" t="str">
        <f t="shared" ca="1" si="39"/>
        <v>23r- 45- 41.541 N</v>
      </c>
      <c r="F198" t="str">
        <f t="shared" ca="1" si="40"/>
        <v>23r- 45- 41.541 N</v>
      </c>
      <c r="H198" t="s">
        <v>2682</v>
      </c>
      <c r="I198" t="str">
        <f t="shared" ca="1" si="41"/>
        <v>90- 23- 33.338</v>
      </c>
      <c r="J198" t="str">
        <f t="shared" ca="1" si="42"/>
        <v xml:space="preserve"> E</v>
      </c>
      <c r="K198" t="str">
        <f t="shared" ca="1" si="43"/>
        <v>iii</v>
      </c>
      <c r="L198" t="str">
        <f t="shared" ca="1" si="44"/>
        <v>90- 23- 33.338iii E</v>
      </c>
      <c r="M198" t="str">
        <f t="shared" ca="1" si="45"/>
        <v>90- 23- 33.338iii E</v>
      </c>
      <c r="N198">
        <f t="shared" ca="1" si="46"/>
        <v>23.761539166666665</v>
      </c>
      <c r="O198">
        <f t="shared" ca="1" si="47"/>
        <v>90.392593888888896</v>
      </c>
    </row>
    <row r="199" spans="1:15" x14ac:dyDescent="0.3">
      <c r="A199" t="s">
        <v>2189</v>
      </c>
      <c r="B199" t="str">
        <f t="shared" ca="1" si="36"/>
        <v>23- 45- 42.1</v>
      </c>
      <c r="C199" t="str">
        <f t="shared" ca="1" si="37"/>
        <v>36 N</v>
      </c>
      <c r="D199" t="str">
        <f t="shared" ca="1" si="38"/>
        <v>YYYYY</v>
      </c>
      <c r="E199" t="str">
        <f t="shared" ca="1" si="39"/>
        <v>23- 45- 42.1YYYYY36 N</v>
      </c>
      <c r="F199" t="str">
        <f t="shared" ca="1" si="40"/>
        <v>23- 45- 42.1YYYYY36 N</v>
      </c>
      <c r="H199" t="s">
        <v>2683</v>
      </c>
      <c r="I199" t="str">
        <f t="shared" ca="1" si="41"/>
        <v>90- 24- 8.</v>
      </c>
      <c r="J199" t="str">
        <f t="shared" ca="1" si="42"/>
        <v>631 E</v>
      </c>
      <c r="K199" t="str">
        <f t="shared" ca="1" si="43"/>
        <v>xx</v>
      </c>
      <c r="L199" t="str">
        <f t="shared" ca="1" si="44"/>
        <v>90- 24- 8.xx631 E</v>
      </c>
      <c r="M199" t="str">
        <f t="shared" ca="1" si="45"/>
        <v>90- 24- 8.xx631 E</v>
      </c>
      <c r="N199">
        <f t="shared" ca="1" si="46"/>
        <v>23.761704444444444</v>
      </c>
      <c r="O199">
        <f t="shared" ca="1" si="47"/>
        <v>90.402397500000006</v>
      </c>
    </row>
    <row r="200" spans="1:15" x14ac:dyDescent="0.3">
      <c r="A200" t="s">
        <v>2190</v>
      </c>
      <c r="B200" t="str">
        <f t="shared" ca="1" si="36"/>
        <v>23- 45- 42</v>
      </c>
      <c r="C200" t="str">
        <f t="shared" ca="1" si="37"/>
        <v>.729 N</v>
      </c>
      <c r="D200" t="str">
        <f t="shared" ca="1" si="38"/>
        <v>OOO</v>
      </c>
      <c r="E200" t="str">
        <f t="shared" ca="1" si="39"/>
        <v>23- 45- 42OOO.729 N</v>
      </c>
      <c r="F200" t="str">
        <f t="shared" ca="1" si="40"/>
        <v>23- 45- 42OOO.729 N</v>
      </c>
      <c r="H200" t="s">
        <v>2684</v>
      </c>
      <c r="I200" t="str">
        <f t="shared" ca="1" si="41"/>
        <v>90- 24- 43.9</v>
      </c>
      <c r="J200" t="str">
        <f t="shared" ca="1" si="42"/>
        <v>25 E</v>
      </c>
      <c r="K200" t="str">
        <f t="shared" ca="1" si="43"/>
        <v>n</v>
      </c>
      <c r="L200" t="str">
        <f t="shared" ca="1" si="44"/>
        <v>90- 24- 43.9n25 E</v>
      </c>
      <c r="M200" t="str">
        <f t="shared" ca="1" si="45"/>
        <v>90- 24- 43.9n25 E</v>
      </c>
      <c r="N200">
        <f t="shared" ca="1" si="46"/>
        <v>23.761869166666667</v>
      </c>
      <c r="O200">
        <f t="shared" ca="1" si="47"/>
        <v>90.412201388888889</v>
      </c>
    </row>
    <row r="201" spans="1:15" x14ac:dyDescent="0.3">
      <c r="A201" t="s">
        <v>2191</v>
      </c>
      <c r="B201" t="str">
        <f t="shared" ca="1" si="36"/>
        <v>23- 45- 4</v>
      </c>
      <c r="C201" t="str">
        <f t="shared" ca="1" si="37"/>
        <v>3.319 N</v>
      </c>
      <c r="D201" t="str">
        <f t="shared" ca="1" si="38"/>
        <v>E</v>
      </c>
      <c r="E201" t="str">
        <f t="shared" ca="1" si="39"/>
        <v>23- 45- 4E3.319 N</v>
      </c>
      <c r="F201" t="str">
        <f t="shared" ca="1" si="40"/>
        <v>23- 45- 4E3.319 N</v>
      </c>
      <c r="H201" t="s">
        <v>2685</v>
      </c>
      <c r="I201" t="str">
        <f t="shared" ca="1" si="41"/>
        <v xml:space="preserve">90- 25- 19.218 </v>
      </c>
      <c r="J201" t="str">
        <f t="shared" ca="1" si="42"/>
        <v>E</v>
      </c>
      <c r="K201" t="str">
        <f t="shared" ca="1" si="43"/>
        <v>kkkk</v>
      </c>
      <c r="L201" t="str">
        <f t="shared" ca="1" si="44"/>
        <v>90- 25- 19.218 kkkkE</v>
      </c>
      <c r="M201" t="str">
        <f t="shared" ca="1" si="45"/>
        <v>90- 25- 19.218 kkkkE</v>
      </c>
      <c r="N201">
        <f t="shared" ca="1" si="46"/>
        <v>23.762033055555555</v>
      </c>
      <c r="O201">
        <f t="shared" ca="1" si="47"/>
        <v>90.422004999999999</v>
      </c>
    </row>
    <row r="202" spans="1:15" x14ac:dyDescent="0.3">
      <c r="A202" t="s">
        <v>2192</v>
      </c>
      <c r="B202" t="str">
        <f t="shared" ca="1" si="36"/>
        <v>23- 45-</v>
      </c>
      <c r="C202" t="str">
        <f t="shared" ca="1" si="37"/>
        <v xml:space="preserve"> 43.907 N</v>
      </c>
      <c r="D202" t="str">
        <f t="shared" ca="1" si="38"/>
        <v>bbbbb</v>
      </c>
      <c r="E202" t="str">
        <f t="shared" ca="1" si="39"/>
        <v>23- 45-bbbbb 43.907 N</v>
      </c>
      <c r="F202" t="str">
        <f t="shared" ca="1" si="40"/>
        <v>23- 45-bbbbb 43.907 N</v>
      </c>
      <c r="H202" t="s">
        <v>2686</v>
      </c>
      <c r="I202" t="str">
        <f t="shared" ca="1" si="41"/>
        <v>90- 25- 5</v>
      </c>
      <c r="J202" t="str">
        <f t="shared" ca="1" si="42"/>
        <v>4.512 E</v>
      </c>
      <c r="K202" t="str">
        <f t="shared" ca="1" si="43"/>
        <v>V</v>
      </c>
      <c r="L202" t="str">
        <f t="shared" ca="1" si="44"/>
        <v>90- 25- 5V4.512 E</v>
      </c>
      <c r="M202" t="str">
        <f t="shared" ca="1" si="45"/>
        <v>90- 25- 5V4.512 E</v>
      </c>
      <c r="N202">
        <f t="shared" ca="1" si="46"/>
        <v>23.762196388888889</v>
      </c>
      <c r="O202">
        <f t="shared" ca="1" si="47"/>
        <v>90.431808888888895</v>
      </c>
    </row>
    <row r="203" spans="1:15" x14ac:dyDescent="0.3">
      <c r="A203" t="s">
        <v>2193</v>
      </c>
      <c r="B203" t="str">
        <f t="shared" ca="1" si="36"/>
        <v>23- 45- 44.493 N</v>
      </c>
      <c r="C203" t="str">
        <f t="shared" ca="1" si="37"/>
        <v/>
      </c>
      <c r="D203" t="str">
        <f t="shared" ca="1" si="38"/>
        <v>___</v>
      </c>
      <c r="E203" t="str">
        <f t="shared" ca="1" si="39"/>
        <v>23- 45- 44.493 N___</v>
      </c>
      <c r="F203" t="str">
        <f t="shared" ca="1" si="40"/>
        <v>23- 45- 44.493 N___</v>
      </c>
      <c r="H203" t="s">
        <v>2687</v>
      </c>
      <c r="I203" t="str">
        <f t="shared" ca="1" si="41"/>
        <v>90- 26- 29.806 E</v>
      </c>
      <c r="J203" t="str">
        <f t="shared" ca="1" si="42"/>
        <v/>
      </c>
      <c r="K203" t="str">
        <f t="shared" ca="1" si="43"/>
        <v>kk</v>
      </c>
      <c r="L203" t="str">
        <f t="shared" ca="1" si="44"/>
        <v>90- 26- 29.806 Ekk</v>
      </c>
      <c r="M203" t="str">
        <f t="shared" ca="1" si="45"/>
        <v>90- 26- 29.806 Ekk</v>
      </c>
      <c r="N203">
        <f t="shared" ca="1" si="46"/>
        <v>23.762359166666666</v>
      </c>
      <c r="O203">
        <f t="shared" ca="1" si="47"/>
        <v>90.441612777777777</v>
      </c>
    </row>
    <row r="204" spans="1:15" x14ac:dyDescent="0.3">
      <c r="A204" t="s">
        <v>2194</v>
      </c>
      <c r="B204" t="str">
        <f t="shared" ca="1" si="36"/>
        <v>23- 45- 4</v>
      </c>
      <c r="C204" t="str">
        <f t="shared" ca="1" si="37"/>
        <v>5.077 N</v>
      </c>
      <c r="D204" t="str">
        <f t="shared" ca="1" si="38"/>
        <v>BBBB</v>
      </c>
      <c r="E204" t="str">
        <f t="shared" ca="1" si="39"/>
        <v>23- 45- 4BBBB5.077 N</v>
      </c>
      <c r="F204" t="str">
        <f t="shared" ca="1" si="40"/>
        <v>23- 45- 4BBBB5.077 N</v>
      </c>
      <c r="H204" t="s">
        <v>2688</v>
      </c>
      <c r="I204" t="str">
        <f t="shared" ca="1" si="41"/>
        <v>90- 27-</v>
      </c>
      <c r="J204" t="str">
        <f t="shared" ca="1" si="42"/>
        <v xml:space="preserve"> 5.101 E</v>
      </c>
      <c r="K204" t="str">
        <f t="shared" ca="1" si="43"/>
        <v>]]</v>
      </c>
      <c r="L204" t="str">
        <f t="shared" ca="1" si="44"/>
        <v>90- 27-]] 5.101 E</v>
      </c>
      <c r="M204" t="str">
        <f t="shared" ca="1" si="45"/>
        <v>90- 27-]] 5.101 E</v>
      </c>
      <c r="N204">
        <f t="shared" ca="1" si="46"/>
        <v>23.762521388888889</v>
      </c>
      <c r="O204">
        <f t="shared" ca="1" si="47"/>
        <v>90.451416944444446</v>
      </c>
    </row>
    <row r="205" spans="1:15" x14ac:dyDescent="0.3">
      <c r="A205" t="s">
        <v>2195</v>
      </c>
      <c r="B205" t="str">
        <f t="shared" ca="1" si="36"/>
        <v>23</v>
      </c>
      <c r="C205" t="str">
        <f t="shared" ca="1" si="37"/>
        <v>- 45- 45.659 N</v>
      </c>
      <c r="D205" t="str">
        <f t="shared" ca="1" si="38"/>
        <v>a</v>
      </c>
      <c r="E205" t="str">
        <f t="shared" ca="1" si="39"/>
        <v>23a- 45- 45.659 N</v>
      </c>
      <c r="F205" t="str">
        <f t="shared" ca="1" si="40"/>
        <v>23a- 45- 45.659 N</v>
      </c>
      <c r="H205" t="s">
        <v>2689</v>
      </c>
      <c r="I205" t="str">
        <f t="shared" ca="1" si="41"/>
        <v xml:space="preserve">90- </v>
      </c>
      <c r="J205" t="str">
        <f t="shared" ca="1" si="42"/>
        <v>27- 40.396 E</v>
      </c>
      <c r="K205" t="str">
        <f t="shared" ca="1" si="43"/>
        <v>RRRR</v>
      </c>
      <c r="L205" t="str">
        <f t="shared" ca="1" si="44"/>
        <v>90- RRRR27- 40.396 E</v>
      </c>
      <c r="M205" t="str">
        <f t="shared" ca="1" si="45"/>
        <v>90- RRRR27- 40.396 E</v>
      </c>
      <c r="N205">
        <f t="shared" ca="1" si="46"/>
        <v>23.762683055555556</v>
      </c>
      <c r="O205">
        <f t="shared" ca="1" si="47"/>
        <v>90.461221111111115</v>
      </c>
    </row>
    <row r="206" spans="1:15" x14ac:dyDescent="0.3">
      <c r="A206" t="s">
        <v>2196</v>
      </c>
      <c r="B206" t="str">
        <f t="shared" ca="1" si="36"/>
        <v>23- 45- 46.238 N</v>
      </c>
      <c r="C206" t="str">
        <f t="shared" ca="1" si="37"/>
        <v/>
      </c>
      <c r="D206" t="str">
        <f t="shared" ca="1" si="38"/>
        <v>fffff</v>
      </c>
      <c r="E206" t="str">
        <f t="shared" ca="1" si="39"/>
        <v>23- 45- 46.238 Nfffff</v>
      </c>
      <c r="F206" t="str">
        <f t="shared" ca="1" si="40"/>
        <v>23- 45- 46.238 Nfffff</v>
      </c>
      <c r="H206" t="s">
        <v>2690</v>
      </c>
      <c r="I206" t="str">
        <f t="shared" ca="1" si="41"/>
        <v xml:space="preserve">90- </v>
      </c>
      <c r="J206" t="str">
        <f t="shared" ca="1" si="42"/>
        <v>28- 15.691 E</v>
      </c>
      <c r="K206" t="str">
        <f t="shared" ca="1" si="43"/>
        <v>B</v>
      </c>
      <c r="L206" t="str">
        <f t="shared" ca="1" si="44"/>
        <v>90- B28- 15.691 E</v>
      </c>
      <c r="M206" t="str">
        <f t="shared" ca="1" si="45"/>
        <v>90- B28- 15.691 E</v>
      </c>
      <c r="N206">
        <f t="shared" ca="1" si="46"/>
        <v>23.762843888888888</v>
      </c>
      <c r="O206">
        <f t="shared" ca="1" si="47"/>
        <v>90.471025277777784</v>
      </c>
    </row>
    <row r="207" spans="1:15" x14ac:dyDescent="0.3">
      <c r="A207" t="s">
        <v>2197</v>
      </c>
      <c r="B207" t="str">
        <f t="shared" ca="1" si="36"/>
        <v>23</v>
      </c>
      <c r="C207" t="str">
        <f t="shared" ca="1" si="37"/>
        <v>- 45- 46.815 N</v>
      </c>
      <c r="D207" t="str">
        <f t="shared" ca="1" si="38"/>
        <v>pp</v>
      </c>
      <c r="E207" t="str">
        <f t="shared" ca="1" si="39"/>
        <v>23pp- 45- 46.815 N</v>
      </c>
      <c r="F207" t="str">
        <f t="shared" ca="1" si="40"/>
        <v>23pp- 45- 46.815 N</v>
      </c>
      <c r="H207" t="s">
        <v>2691</v>
      </c>
      <c r="I207" t="str">
        <f t="shared" ca="1" si="41"/>
        <v>90-</v>
      </c>
      <c r="J207" t="str">
        <f t="shared" ca="1" si="42"/>
        <v xml:space="preserve"> 28- 50.987 E</v>
      </c>
      <c r="K207" t="str">
        <f t="shared" ca="1" si="43"/>
        <v>UUUUU</v>
      </c>
      <c r="L207" t="str">
        <f t="shared" ca="1" si="44"/>
        <v>90-UUUUU 28- 50.987 E</v>
      </c>
      <c r="M207" t="str">
        <f t="shared" ca="1" si="45"/>
        <v>90-UUUUU 28- 50.987 E</v>
      </c>
      <c r="N207">
        <f t="shared" ca="1" si="46"/>
        <v>23.763004166666665</v>
      </c>
      <c r="O207">
        <f t="shared" ca="1" si="47"/>
        <v>90.480829722222225</v>
      </c>
    </row>
    <row r="208" spans="1:15" x14ac:dyDescent="0.3">
      <c r="A208" t="s">
        <v>2198</v>
      </c>
      <c r="B208" t="str">
        <f t="shared" ca="1" si="36"/>
        <v>23- 45- 47.3</v>
      </c>
      <c r="C208" t="str">
        <f t="shared" ca="1" si="37"/>
        <v>90 N</v>
      </c>
      <c r="D208" t="str">
        <f t="shared" ca="1" si="38"/>
        <v>hhhh</v>
      </c>
      <c r="E208" t="str">
        <f t="shared" ca="1" si="39"/>
        <v>23- 45- 47.3hhhh90 N</v>
      </c>
      <c r="F208" t="str">
        <f t="shared" ca="1" si="40"/>
        <v>23- 45- 47.3hhhh90 N</v>
      </c>
      <c r="H208" t="s">
        <v>2692</v>
      </c>
      <c r="I208" t="str">
        <f t="shared" ca="1" si="41"/>
        <v xml:space="preserve">90- 29- </v>
      </c>
      <c r="J208" t="str">
        <f t="shared" ca="1" si="42"/>
        <v>26.282 E</v>
      </c>
      <c r="K208" t="str">
        <f t="shared" ca="1" si="43"/>
        <v>ssss</v>
      </c>
      <c r="L208" t="str">
        <f t="shared" ca="1" si="44"/>
        <v>90- 29- ssss26.282 E</v>
      </c>
      <c r="M208" t="str">
        <f t="shared" ca="1" si="45"/>
        <v>90- 29- ssss26.282 E</v>
      </c>
      <c r="N208">
        <f t="shared" ca="1" si="46"/>
        <v>23.76316388888889</v>
      </c>
      <c r="O208">
        <f t="shared" ca="1" si="47"/>
        <v>90.490633888888894</v>
      </c>
    </row>
    <row r="209" spans="1:15" x14ac:dyDescent="0.3">
      <c r="A209" t="s">
        <v>2199</v>
      </c>
      <c r="B209" t="str">
        <f t="shared" ca="1" si="36"/>
        <v>23- 45- 47.962 N</v>
      </c>
      <c r="C209" t="str">
        <f t="shared" ca="1" si="37"/>
        <v/>
      </c>
      <c r="D209" t="str">
        <f t="shared" ca="1" si="38"/>
        <v>cccc</v>
      </c>
      <c r="E209" t="str">
        <f t="shared" ca="1" si="39"/>
        <v>23- 45- 47.962 Ncccc</v>
      </c>
      <c r="F209" t="str">
        <f t="shared" ca="1" si="40"/>
        <v>23- 45- 47.962 Ncccc</v>
      </c>
      <c r="H209" t="s">
        <v>2693</v>
      </c>
      <c r="I209" t="str">
        <f t="shared" ca="1" si="41"/>
        <v>90- 30</v>
      </c>
      <c r="J209" t="str">
        <f t="shared" ca="1" si="42"/>
        <v>- 1.579 E</v>
      </c>
      <c r="K209" t="str">
        <f t="shared" ca="1" si="43"/>
        <v>M</v>
      </c>
      <c r="L209" t="str">
        <f t="shared" ca="1" si="44"/>
        <v>90- 30M- 1.579 E</v>
      </c>
      <c r="M209" t="str">
        <f t="shared" ca="1" si="45"/>
        <v>90- 30M- 1.579 E</v>
      </c>
      <c r="N209">
        <f t="shared" ca="1" si="46"/>
        <v>23.763322777777777</v>
      </c>
      <c r="O209">
        <f t="shared" ca="1" si="47"/>
        <v>90.500438611111107</v>
      </c>
    </row>
    <row r="210" spans="1:15" x14ac:dyDescent="0.3">
      <c r="A210" t="s">
        <v>2200</v>
      </c>
      <c r="B210" t="str">
        <f t="shared" ca="1" si="36"/>
        <v>23- 45- 48.533</v>
      </c>
      <c r="C210" t="str">
        <f t="shared" ca="1" si="37"/>
        <v xml:space="preserve"> N</v>
      </c>
      <c r="D210" t="str">
        <f t="shared" ca="1" si="38"/>
        <v>`</v>
      </c>
      <c r="E210" t="str">
        <f t="shared" ca="1" si="39"/>
        <v>23- 45- 48.533` N</v>
      </c>
      <c r="F210" t="str">
        <f t="shared" ca="1" si="40"/>
        <v>23- 45- 48.533` N</v>
      </c>
      <c r="H210" t="s">
        <v>2694</v>
      </c>
      <c r="I210" t="str">
        <f t="shared" ca="1" si="41"/>
        <v>90- 3</v>
      </c>
      <c r="J210" t="str">
        <f t="shared" ca="1" si="42"/>
        <v>0- 36.875 E</v>
      </c>
      <c r="K210" t="str">
        <f t="shared" ca="1" si="43"/>
        <v>VVVVV</v>
      </c>
      <c r="L210" t="str">
        <f t="shared" ca="1" si="44"/>
        <v>90- 3VVVVV0- 36.875 E</v>
      </c>
      <c r="M210" t="str">
        <f t="shared" ca="1" si="45"/>
        <v>90- 3VVVVV0- 36.875 E</v>
      </c>
      <c r="N210">
        <f t="shared" ca="1" si="46"/>
        <v>23.763481388888888</v>
      </c>
      <c r="O210">
        <f t="shared" ca="1" si="47"/>
        <v>90.510243055555549</v>
      </c>
    </row>
    <row r="211" spans="1:15" x14ac:dyDescent="0.3">
      <c r="A211" t="s">
        <v>2201</v>
      </c>
      <c r="B211" t="str">
        <f t="shared" ca="1" si="36"/>
        <v>23- 46-</v>
      </c>
      <c r="C211" t="str">
        <f t="shared" ca="1" si="37"/>
        <v xml:space="preserve"> 10.406 N</v>
      </c>
      <c r="D211" t="str">
        <f t="shared" ca="1" si="38"/>
        <v>cc</v>
      </c>
      <c r="E211" t="str">
        <f t="shared" ca="1" si="39"/>
        <v>23- 46-cc 10.406 N</v>
      </c>
      <c r="F211" t="str">
        <f t="shared" ca="1" si="40"/>
        <v>23- 46-cc 10.406 N</v>
      </c>
      <c r="H211" t="s">
        <v>2695</v>
      </c>
      <c r="I211" t="str">
        <f t="shared" ca="1" si="41"/>
        <v>9</v>
      </c>
      <c r="J211" t="str">
        <f t="shared" ca="1" si="42"/>
        <v>0- 20- 0.25 E</v>
      </c>
      <c r="K211" t="str">
        <f t="shared" ca="1" si="43"/>
        <v>ppp</v>
      </c>
      <c r="L211" t="str">
        <f t="shared" ca="1" si="44"/>
        <v>9ppp0- 20- 0.25 E</v>
      </c>
      <c r="M211" t="str">
        <f t="shared" ca="1" si="45"/>
        <v>9ppp0- 20- 0.25 E</v>
      </c>
      <c r="N211">
        <f t="shared" ca="1" si="46"/>
        <v>23.769557222222222</v>
      </c>
      <c r="O211">
        <f t="shared" ca="1" si="47"/>
        <v>90.333402777777778</v>
      </c>
    </row>
    <row r="212" spans="1:15" x14ac:dyDescent="0.3">
      <c r="A212" t="s">
        <v>2202</v>
      </c>
      <c r="B212" t="str">
        <f t="shared" ca="1" si="36"/>
        <v>23- 46- 11</v>
      </c>
      <c r="C212" t="str">
        <f t="shared" ca="1" si="37"/>
        <v>.015 N</v>
      </c>
      <c r="D212" t="str">
        <f t="shared" ca="1" si="38"/>
        <v>ii</v>
      </c>
      <c r="E212" t="str">
        <f t="shared" ca="1" si="39"/>
        <v>23- 46- 11ii.015 N</v>
      </c>
      <c r="F212" t="str">
        <f t="shared" ca="1" si="40"/>
        <v>23- 46- 11ii.015 N</v>
      </c>
      <c r="H212" t="s">
        <v>2696</v>
      </c>
      <c r="I212" t="str">
        <f t="shared" ca="1" si="41"/>
        <v>90- 20</v>
      </c>
      <c r="J212" t="str">
        <f t="shared" ca="1" si="42"/>
        <v>- 36.218 E</v>
      </c>
      <c r="K212" t="str">
        <f t="shared" ca="1" si="43"/>
        <v>O</v>
      </c>
      <c r="L212" t="str">
        <f t="shared" ca="1" si="44"/>
        <v>90- 20O- 36.218 E</v>
      </c>
      <c r="M212" t="str">
        <f t="shared" ca="1" si="45"/>
        <v>90- 20O- 36.218 E</v>
      </c>
      <c r="N212">
        <f t="shared" ca="1" si="46"/>
        <v>23.769726388888888</v>
      </c>
      <c r="O212">
        <f t="shared" ca="1" si="47"/>
        <v>90.343393888888883</v>
      </c>
    </row>
    <row r="213" spans="1:15" x14ac:dyDescent="0.3">
      <c r="A213" t="s">
        <v>2203</v>
      </c>
      <c r="B213" t="str">
        <f t="shared" ca="1" si="36"/>
        <v xml:space="preserve">23- 46- </v>
      </c>
      <c r="C213" t="str">
        <f t="shared" ca="1" si="37"/>
        <v>11.621 N</v>
      </c>
      <c r="D213" t="str">
        <f t="shared" ca="1" si="38"/>
        <v>____</v>
      </c>
      <c r="E213" t="str">
        <f t="shared" ca="1" si="39"/>
        <v>23- 46- ____11.621 N</v>
      </c>
      <c r="F213" t="str">
        <f t="shared" ca="1" si="40"/>
        <v>23- 46- ____11.621 N</v>
      </c>
      <c r="H213" t="s">
        <v>2697</v>
      </c>
      <c r="I213" t="str">
        <f t="shared" ca="1" si="41"/>
        <v xml:space="preserve">90- 21- </v>
      </c>
      <c r="J213" t="str">
        <f t="shared" ca="1" si="42"/>
        <v>11.512 E</v>
      </c>
      <c r="K213" t="str">
        <f t="shared" ca="1" si="43"/>
        <v>BBB</v>
      </c>
      <c r="L213" t="str">
        <f t="shared" ca="1" si="44"/>
        <v>90- 21- BBB11.512 E</v>
      </c>
      <c r="M213" t="str">
        <f t="shared" ca="1" si="45"/>
        <v>90- 21- BBB11.512 E</v>
      </c>
      <c r="N213">
        <f t="shared" ca="1" si="46"/>
        <v>23.769894722222222</v>
      </c>
      <c r="O213">
        <f t="shared" ca="1" si="47"/>
        <v>90.353197777777766</v>
      </c>
    </row>
    <row r="214" spans="1:15" x14ac:dyDescent="0.3">
      <c r="A214" t="s">
        <v>2204</v>
      </c>
      <c r="B214" t="str">
        <f t="shared" ca="1" si="36"/>
        <v>23- 46- 12.22</v>
      </c>
      <c r="C214" t="str">
        <f t="shared" ca="1" si="37"/>
        <v>5 N</v>
      </c>
      <c r="D214" t="str">
        <f t="shared" ca="1" si="38"/>
        <v>wwww</v>
      </c>
      <c r="E214" t="str">
        <f t="shared" ca="1" si="39"/>
        <v>23- 46- 12.22wwww5 N</v>
      </c>
      <c r="F214" t="str">
        <f t="shared" ca="1" si="40"/>
        <v>23- 46- 12.22wwww5 N</v>
      </c>
      <c r="H214" t="s">
        <v>2698</v>
      </c>
      <c r="I214" t="str">
        <f t="shared" ca="1" si="41"/>
        <v>90- 21- 4</v>
      </c>
      <c r="J214" t="str">
        <f t="shared" ca="1" si="42"/>
        <v>6.806 E</v>
      </c>
      <c r="K214" t="str">
        <f t="shared" ca="1" si="43"/>
        <v>W</v>
      </c>
      <c r="L214" t="str">
        <f t="shared" ca="1" si="44"/>
        <v>90- 21- 4W6.806 E</v>
      </c>
      <c r="M214" t="str">
        <f t="shared" ca="1" si="45"/>
        <v>90- 21- 4W6.806 E</v>
      </c>
      <c r="N214">
        <f t="shared" ca="1" si="46"/>
        <v>23.770062499999998</v>
      </c>
      <c r="O214">
        <f t="shared" ca="1" si="47"/>
        <v>90.363001666666662</v>
      </c>
    </row>
    <row r="215" spans="1:15" x14ac:dyDescent="0.3">
      <c r="A215" t="s">
        <v>2205</v>
      </c>
      <c r="B215" t="str">
        <f t="shared" ca="1" si="36"/>
        <v>23- 46- 12</v>
      </c>
      <c r="C215" t="str">
        <f t="shared" ca="1" si="37"/>
        <v>.827 N</v>
      </c>
      <c r="D215" t="str">
        <f t="shared" ca="1" si="38"/>
        <v>M</v>
      </c>
      <c r="E215" t="str">
        <f t="shared" ca="1" si="39"/>
        <v>23- 46- 12M.827 N</v>
      </c>
      <c r="F215" t="str">
        <f t="shared" ca="1" si="40"/>
        <v>23- 46- 12M.827 N</v>
      </c>
      <c r="H215" t="s">
        <v>2699</v>
      </c>
      <c r="I215" t="str">
        <f t="shared" ca="1" si="41"/>
        <v>90- 22- 2</v>
      </c>
      <c r="J215" t="str">
        <f t="shared" ca="1" si="42"/>
        <v>2.101 E</v>
      </c>
      <c r="K215" t="str">
        <f t="shared" ca="1" si="43"/>
        <v>LL</v>
      </c>
      <c r="L215" t="str">
        <f t="shared" ca="1" si="44"/>
        <v>90- 22- 2LL2.101 E</v>
      </c>
      <c r="M215" t="str">
        <f t="shared" ca="1" si="45"/>
        <v>90- 22- 2LL2.101 E</v>
      </c>
      <c r="N215">
        <f t="shared" ca="1" si="46"/>
        <v>23.770229722222222</v>
      </c>
      <c r="O215">
        <f t="shared" ca="1" si="47"/>
        <v>90.372805833333331</v>
      </c>
    </row>
    <row r="216" spans="1:15" x14ac:dyDescent="0.3">
      <c r="A216" t="s">
        <v>2206</v>
      </c>
      <c r="B216" t="str">
        <f t="shared" ca="1" si="36"/>
        <v>23-</v>
      </c>
      <c r="C216" t="str">
        <f t="shared" ca="1" si="37"/>
        <v xml:space="preserve"> 46- 13.427 N</v>
      </c>
      <c r="D216" t="str">
        <f t="shared" ca="1" si="38"/>
        <v>ttt</v>
      </c>
      <c r="E216" t="str">
        <f t="shared" ca="1" si="39"/>
        <v>23-ttt 46- 13.427 N</v>
      </c>
      <c r="F216" t="str">
        <f t="shared" ca="1" si="40"/>
        <v>23-ttt 46- 13.427 N</v>
      </c>
      <c r="H216" t="s">
        <v>2700</v>
      </c>
      <c r="I216" t="str">
        <f t="shared" ca="1" si="41"/>
        <v xml:space="preserve">90- 22- 57.395 </v>
      </c>
      <c r="J216" t="str">
        <f t="shared" ca="1" si="42"/>
        <v>E</v>
      </c>
      <c r="K216" t="str">
        <f t="shared" ca="1" si="43"/>
        <v>S</v>
      </c>
      <c r="L216" t="str">
        <f t="shared" ca="1" si="44"/>
        <v>90- 22- 57.395 SE</v>
      </c>
      <c r="M216" t="str">
        <f t="shared" ca="1" si="45"/>
        <v>90- 22- 57.395 SE</v>
      </c>
      <c r="N216">
        <f t="shared" ca="1" si="46"/>
        <v>23.770396388888887</v>
      </c>
      <c r="O216">
        <f t="shared" ca="1" si="47"/>
        <v>90.382609722222213</v>
      </c>
    </row>
    <row r="217" spans="1:15" x14ac:dyDescent="0.3">
      <c r="A217" t="s">
        <v>2207</v>
      </c>
      <c r="B217" t="str">
        <f t="shared" ca="1" si="36"/>
        <v>23-</v>
      </c>
      <c r="C217" t="str">
        <f t="shared" ca="1" si="37"/>
        <v xml:space="preserve"> 46- 14.024 N</v>
      </c>
      <c r="D217" t="str">
        <f t="shared" ca="1" si="38"/>
        <v>vv</v>
      </c>
      <c r="E217" t="str">
        <f t="shared" ca="1" si="39"/>
        <v>23-vv 46- 14.024 N</v>
      </c>
      <c r="F217" t="str">
        <f t="shared" ca="1" si="40"/>
        <v>23-vv 46- 14.024 N</v>
      </c>
      <c r="H217" t="s">
        <v>2701</v>
      </c>
      <c r="I217" t="str">
        <f t="shared" ca="1" si="41"/>
        <v>90- 23- 32.</v>
      </c>
      <c r="J217" t="str">
        <f t="shared" ca="1" si="42"/>
        <v>690 E</v>
      </c>
      <c r="K217" t="str">
        <f t="shared" ca="1" si="43"/>
        <v>uu</v>
      </c>
      <c r="L217" t="str">
        <f t="shared" ca="1" si="44"/>
        <v>90- 23- 32.uu690 E</v>
      </c>
      <c r="M217" t="str">
        <f t="shared" ca="1" si="45"/>
        <v>90- 23- 32.uu690 E</v>
      </c>
      <c r="N217">
        <f t="shared" ca="1" si="46"/>
        <v>23.770562222222221</v>
      </c>
      <c r="O217">
        <f t="shared" ca="1" si="47"/>
        <v>90.392413888888896</v>
      </c>
    </row>
    <row r="218" spans="1:15" x14ac:dyDescent="0.3">
      <c r="A218" t="s">
        <v>2208</v>
      </c>
      <c r="B218" t="str">
        <f t="shared" ca="1" si="36"/>
        <v>23- 46- 14.</v>
      </c>
      <c r="C218" t="str">
        <f t="shared" ca="1" si="37"/>
        <v>620 N</v>
      </c>
      <c r="D218" t="str">
        <f t="shared" ca="1" si="38"/>
        <v>AAA</v>
      </c>
      <c r="E218" t="str">
        <f t="shared" ca="1" si="39"/>
        <v>23- 46- 14.AAA620 N</v>
      </c>
      <c r="F218" t="str">
        <f t="shared" ca="1" si="40"/>
        <v>23- 46- 14.AAA620 N</v>
      </c>
      <c r="H218" t="s">
        <v>2702</v>
      </c>
      <c r="I218" t="str">
        <f t="shared" ca="1" si="41"/>
        <v>90- 24- 7.986 E</v>
      </c>
      <c r="J218" t="str">
        <f t="shared" ca="1" si="42"/>
        <v/>
      </c>
      <c r="K218" t="str">
        <f t="shared" ca="1" si="43"/>
        <v>aa</v>
      </c>
      <c r="L218" t="str">
        <f t="shared" ca="1" si="44"/>
        <v>90- 24- 7.986 Eaa</v>
      </c>
      <c r="M218" t="str">
        <f t="shared" ca="1" si="45"/>
        <v>90- 24- 7.986 Eaa</v>
      </c>
      <c r="N218">
        <f t="shared" ca="1" si="46"/>
        <v>23.770727777777775</v>
      </c>
      <c r="O218">
        <f t="shared" ca="1" si="47"/>
        <v>90.402218333333337</v>
      </c>
    </row>
    <row r="219" spans="1:15" x14ac:dyDescent="0.3">
      <c r="A219" t="s">
        <v>2209</v>
      </c>
      <c r="B219" t="str">
        <f t="shared" ca="1" si="36"/>
        <v>23- 46- 15</v>
      </c>
      <c r="C219" t="str">
        <f t="shared" ca="1" si="37"/>
        <v>.213 N</v>
      </c>
      <c r="D219" t="str">
        <f t="shared" ca="1" si="38"/>
        <v>QQ</v>
      </c>
      <c r="E219" t="str">
        <f t="shared" ca="1" si="39"/>
        <v>23- 46- 15QQ.213 N</v>
      </c>
      <c r="F219" t="str">
        <f t="shared" ca="1" si="40"/>
        <v>23- 46- 15QQ.213 N</v>
      </c>
      <c r="H219" t="s">
        <v>2703</v>
      </c>
      <c r="I219" t="str">
        <f t="shared" ca="1" si="41"/>
        <v>9</v>
      </c>
      <c r="J219" t="str">
        <f t="shared" ca="1" si="42"/>
        <v>0- 24- 43.282 E</v>
      </c>
      <c r="K219" t="str">
        <f t="shared" ca="1" si="43"/>
        <v>mmm</v>
      </c>
      <c r="L219" t="str">
        <f t="shared" ca="1" si="44"/>
        <v>9mmm0- 24- 43.282 E</v>
      </c>
      <c r="M219" t="str">
        <f t="shared" ca="1" si="45"/>
        <v>9mmm0- 24- 43.282 E</v>
      </c>
      <c r="N219">
        <f t="shared" ca="1" si="46"/>
        <v>23.770892499999999</v>
      </c>
      <c r="O219">
        <f t="shared" ca="1" si="47"/>
        <v>90.412022777777779</v>
      </c>
    </row>
    <row r="220" spans="1:15" x14ac:dyDescent="0.3">
      <c r="A220" t="s">
        <v>2210</v>
      </c>
      <c r="B220" t="str">
        <f t="shared" ca="1" si="36"/>
        <v>23- 46-</v>
      </c>
      <c r="C220" t="str">
        <f t="shared" ca="1" si="37"/>
        <v xml:space="preserve"> 15.803 N</v>
      </c>
      <c r="D220" t="str">
        <f t="shared" ca="1" si="38"/>
        <v>X</v>
      </c>
      <c r="E220" t="str">
        <f t="shared" ca="1" si="39"/>
        <v>23- 46-X 15.803 N</v>
      </c>
      <c r="F220" t="str">
        <f t="shared" ca="1" si="40"/>
        <v>23- 46-X 15.803 N</v>
      </c>
      <c r="H220" t="s">
        <v>2704</v>
      </c>
      <c r="I220" t="str">
        <f t="shared" ca="1" si="41"/>
        <v>90- 2</v>
      </c>
      <c r="J220" t="str">
        <f t="shared" ca="1" si="42"/>
        <v>5- 18.578 E</v>
      </c>
      <c r="K220" t="str">
        <f t="shared" ca="1" si="43"/>
        <v>PPP</v>
      </c>
      <c r="L220" t="str">
        <f t="shared" ca="1" si="44"/>
        <v>90- 2PPP5- 18.578 E</v>
      </c>
      <c r="M220" t="str">
        <f t="shared" ca="1" si="45"/>
        <v>90- 2PPP5- 18.578 E</v>
      </c>
      <c r="N220">
        <f t="shared" ca="1" si="46"/>
        <v>23.771056388888887</v>
      </c>
      <c r="O220">
        <f t="shared" ca="1" si="47"/>
        <v>90.421827222222234</v>
      </c>
    </row>
    <row r="221" spans="1:15" x14ac:dyDescent="0.3">
      <c r="A221" t="s">
        <v>2211</v>
      </c>
      <c r="B221" t="str">
        <f t="shared" ca="1" si="36"/>
        <v xml:space="preserve">23- 46- 16.392 </v>
      </c>
      <c r="C221" t="str">
        <f t="shared" ca="1" si="37"/>
        <v>N</v>
      </c>
      <c r="D221" t="str">
        <f t="shared" ca="1" si="38"/>
        <v>QQQQ</v>
      </c>
      <c r="E221" t="str">
        <f t="shared" ca="1" si="39"/>
        <v>23- 46- 16.392 QQQQN</v>
      </c>
      <c r="F221" t="str">
        <f t="shared" ca="1" si="40"/>
        <v>23- 46- 16.392 QQQQN</v>
      </c>
      <c r="H221" t="s">
        <v>2705</v>
      </c>
      <c r="I221" t="str">
        <f t="shared" ca="1" si="41"/>
        <v>90- 25- 53.87</v>
      </c>
      <c r="J221" t="str">
        <f t="shared" ca="1" si="42"/>
        <v>4 E</v>
      </c>
      <c r="K221" t="str">
        <f t="shared" ca="1" si="43"/>
        <v>pppp</v>
      </c>
      <c r="L221" t="str">
        <f t="shared" ca="1" si="44"/>
        <v>90- 25- 53.87pppp4 E</v>
      </c>
      <c r="M221" t="str">
        <f t="shared" ca="1" si="45"/>
        <v>90- 25- 53.87pppp4 E</v>
      </c>
      <c r="N221">
        <f t="shared" ca="1" si="46"/>
        <v>23.77122</v>
      </c>
      <c r="O221">
        <f t="shared" ca="1" si="47"/>
        <v>90.431631666666675</v>
      </c>
    </row>
    <row r="222" spans="1:15" x14ac:dyDescent="0.3">
      <c r="A222" t="s">
        <v>2212</v>
      </c>
      <c r="B222" t="str">
        <f t="shared" ca="1" si="36"/>
        <v xml:space="preserve">23- 46- 16.978 </v>
      </c>
      <c r="C222" t="str">
        <f t="shared" ca="1" si="37"/>
        <v>N</v>
      </c>
      <c r="D222" t="str">
        <f t="shared" ca="1" si="38"/>
        <v>XXX</v>
      </c>
      <c r="E222" t="str">
        <f t="shared" ca="1" si="39"/>
        <v>23- 46- 16.978 XXXN</v>
      </c>
      <c r="F222" t="str">
        <f t="shared" ca="1" si="40"/>
        <v>23- 46- 16.978 XXXN</v>
      </c>
      <c r="H222" t="s">
        <v>2706</v>
      </c>
      <c r="I222" t="str">
        <f t="shared" ca="1" si="41"/>
        <v>90- 26</v>
      </c>
      <c r="J222" t="str">
        <f t="shared" ca="1" si="42"/>
        <v>- 29.171 E</v>
      </c>
      <c r="K222" t="str">
        <f t="shared" ca="1" si="43"/>
        <v>}}}}</v>
      </c>
      <c r="L222" t="str">
        <f t="shared" ca="1" si="44"/>
        <v>90- 26}}}}- 29.171 E</v>
      </c>
      <c r="M222" t="str">
        <f t="shared" ca="1" si="45"/>
        <v>90- 26}}}}- 29.171 E</v>
      </c>
      <c r="N222">
        <f t="shared" ca="1" si="46"/>
        <v>23.771382777777777</v>
      </c>
      <c r="O222">
        <f t="shared" ca="1" si="47"/>
        <v>90.441436388888889</v>
      </c>
    </row>
    <row r="223" spans="1:15" x14ac:dyDescent="0.3">
      <c r="A223" t="s">
        <v>2213</v>
      </c>
      <c r="B223" t="str">
        <f t="shared" ca="1" si="36"/>
        <v>23</v>
      </c>
      <c r="C223" t="str">
        <f t="shared" ca="1" si="37"/>
        <v>- 46- 17.562 N</v>
      </c>
      <c r="D223" t="str">
        <f t="shared" ca="1" si="38"/>
        <v>bbbbb</v>
      </c>
      <c r="E223" t="str">
        <f t="shared" ca="1" si="39"/>
        <v>23bbbbb- 46- 17.562 N</v>
      </c>
      <c r="F223" t="str">
        <f t="shared" ca="1" si="40"/>
        <v>23bbbbb- 46- 17.562 N</v>
      </c>
      <c r="H223" t="s">
        <v>2707</v>
      </c>
      <c r="I223" t="str">
        <f t="shared" ca="1" si="41"/>
        <v xml:space="preserve">90- 27- 4.468 </v>
      </c>
      <c r="J223" t="str">
        <f t="shared" ca="1" si="42"/>
        <v>E</v>
      </c>
      <c r="K223" t="str">
        <f t="shared" ca="1" si="43"/>
        <v>MMM</v>
      </c>
      <c r="L223" t="str">
        <f t="shared" ca="1" si="44"/>
        <v>90- 27- 4.468 MMME</v>
      </c>
      <c r="M223" t="str">
        <f t="shared" ca="1" si="45"/>
        <v>90- 27- 4.468 MMME</v>
      </c>
      <c r="N223">
        <f t="shared" ca="1" si="46"/>
        <v>23.771545</v>
      </c>
      <c r="O223">
        <f t="shared" ca="1" si="47"/>
        <v>90.451241111111116</v>
      </c>
    </row>
    <row r="224" spans="1:15" x14ac:dyDescent="0.3">
      <c r="A224" t="s">
        <v>2214</v>
      </c>
      <c r="B224" t="str">
        <f t="shared" ca="1" si="36"/>
        <v>2</v>
      </c>
      <c r="C224" t="str">
        <f t="shared" ca="1" si="37"/>
        <v>3- 46- 18.144 N</v>
      </c>
      <c r="D224" t="str">
        <f t="shared" ca="1" si="38"/>
        <v>l</v>
      </c>
      <c r="E224" t="str">
        <f t="shared" ca="1" si="39"/>
        <v>2l3- 46- 18.144 N</v>
      </c>
      <c r="F224" t="str">
        <f t="shared" ca="1" si="40"/>
        <v>2l3- 46- 18.144 N</v>
      </c>
      <c r="H224" t="s">
        <v>2708</v>
      </c>
      <c r="I224" t="str">
        <f t="shared" ca="1" si="41"/>
        <v>90- 2</v>
      </c>
      <c r="J224" t="str">
        <f t="shared" ca="1" si="42"/>
        <v>7- 39.765 E</v>
      </c>
      <c r="K224" t="str">
        <f t="shared" ca="1" si="43"/>
        <v>[[</v>
      </c>
      <c r="L224" t="str">
        <f t="shared" ca="1" si="44"/>
        <v>90- 2[[7- 39.765 E</v>
      </c>
      <c r="M224" t="str">
        <f t="shared" ca="1" si="45"/>
        <v>90- 2[[7- 39.765 E</v>
      </c>
      <c r="N224">
        <f t="shared" ca="1" si="46"/>
        <v>23.771706666666667</v>
      </c>
      <c r="O224">
        <f t="shared" ca="1" si="47"/>
        <v>90.46104583333333</v>
      </c>
    </row>
    <row r="225" spans="1:15" x14ac:dyDescent="0.3">
      <c r="A225" t="s">
        <v>2215</v>
      </c>
      <c r="B225" t="str">
        <f t="shared" ca="1" si="36"/>
        <v>23- 46- 18.7</v>
      </c>
      <c r="C225" t="str">
        <f t="shared" ca="1" si="37"/>
        <v>23 N</v>
      </c>
      <c r="D225" t="str">
        <f t="shared" ca="1" si="38"/>
        <v>cc</v>
      </c>
      <c r="E225" t="str">
        <f t="shared" ca="1" si="39"/>
        <v>23- 46- 18.7cc23 N</v>
      </c>
      <c r="F225" t="str">
        <f t="shared" ca="1" si="40"/>
        <v>23- 46- 18.7cc23 N</v>
      </c>
      <c r="H225" t="s">
        <v>2709</v>
      </c>
      <c r="I225" t="str">
        <f t="shared" ca="1" si="41"/>
        <v xml:space="preserve">90- 28- </v>
      </c>
      <c r="J225" t="str">
        <f t="shared" ca="1" si="42"/>
        <v>15.063 E</v>
      </c>
      <c r="K225" t="str">
        <f t="shared" ca="1" si="43"/>
        <v>x</v>
      </c>
      <c r="L225" t="str">
        <f t="shared" ca="1" si="44"/>
        <v>90- 28- x15.063 E</v>
      </c>
      <c r="M225" t="str">
        <f t="shared" ca="1" si="45"/>
        <v>90- 28- x15.063 E</v>
      </c>
      <c r="N225">
        <f t="shared" ca="1" si="46"/>
        <v>23.771867499999999</v>
      </c>
      <c r="O225">
        <f t="shared" ca="1" si="47"/>
        <v>90.47085083333333</v>
      </c>
    </row>
    <row r="226" spans="1:15" x14ac:dyDescent="0.3">
      <c r="A226" t="s">
        <v>2216</v>
      </c>
      <c r="B226" t="str">
        <f t="shared" ca="1" si="36"/>
        <v>23- 46- 19.30</v>
      </c>
      <c r="C226" t="str">
        <f t="shared" ca="1" si="37"/>
        <v>1 N</v>
      </c>
      <c r="D226" t="str">
        <f t="shared" ca="1" si="38"/>
        <v></v>
      </c>
      <c r="E226" t="str">
        <f t="shared" ca="1" si="39"/>
        <v>23- 46- 19.301 N</v>
      </c>
      <c r="F226" t="str">
        <f t="shared" ca="1" si="40"/>
        <v>23- 46- 19.301 N</v>
      </c>
      <c r="H226" t="s">
        <v>2710</v>
      </c>
      <c r="I226" t="str">
        <f t="shared" ca="1" si="41"/>
        <v>90-</v>
      </c>
      <c r="J226" t="str">
        <f t="shared" ca="1" si="42"/>
        <v xml:space="preserve"> 28- 50.361 E</v>
      </c>
      <c r="K226" t="str">
        <f t="shared" ca="1" si="43"/>
        <v>nnn</v>
      </c>
      <c r="L226" t="str">
        <f t="shared" ca="1" si="44"/>
        <v>90-nnn 28- 50.361 E</v>
      </c>
      <c r="M226" t="str">
        <f t="shared" ca="1" si="45"/>
        <v>90-nnn 28- 50.361 E</v>
      </c>
      <c r="N226">
        <f t="shared" ca="1" si="46"/>
        <v>23.772028055555555</v>
      </c>
      <c r="O226">
        <f t="shared" ca="1" si="47"/>
        <v>90.48065583333333</v>
      </c>
    </row>
    <row r="227" spans="1:15" x14ac:dyDescent="0.3">
      <c r="A227" t="s">
        <v>2217</v>
      </c>
      <c r="B227" t="str">
        <f t="shared" ca="1" si="36"/>
        <v>2</v>
      </c>
      <c r="C227" t="str">
        <f t="shared" ca="1" si="37"/>
        <v>3- 46- 19.876 N</v>
      </c>
      <c r="D227" t="str">
        <f t="shared" ca="1" si="38"/>
        <v>AAAAA</v>
      </c>
      <c r="E227" t="str">
        <f t="shared" ca="1" si="39"/>
        <v>2AAAAA3- 46- 19.876 N</v>
      </c>
      <c r="F227" t="str">
        <f t="shared" ca="1" si="40"/>
        <v>2AAAAA3- 46- 19.876 N</v>
      </c>
      <c r="H227" t="s">
        <v>2711</v>
      </c>
      <c r="I227" t="str">
        <f t="shared" ca="1" si="41"/>
        <v>90-</v>
      </c>
      <c r="J227" t="str">
        <f t="shared" ca="1" si="42"/>
        <v xml:space="preserve"> 29- 25.659 E</v>
      </c>
      <c r="K227" t="str">
        <f t="shared" ca="1" si="43"/>
        <v>ffff</v>
      </c>
      <c r="L227" t="str">
        <f t="shared" ca="1" si="44"/>
        <v>90-ffff 29- 25.659 E</v>
      </c>
      <c r="M227" t="str">
        <f t="shared" ca="1" si="45"/>
        <v>90-ffff 29- 25.659 E</v>
      </c>
      <c r="N227">
        <f t="shared" ca="1" si="46"/>
        <v>23.772187777777777</v>
      </c>
      <c r="O227">
        <f t="shared" ca="1" si="47"/>
        <v>90.49046083333333</v>
      </c>
    </row>
    <row r="228" spans="1:15" x14ac:dyDescent="0.3">
      <c r="A228" t="s">
        <v>2218</v>
      </c>
      <c r="B228" t="str">
        <f t="shared" ca="1" si="36"/>
        <v>23</v>
      </c>
      <c r="C228" t="str">
        <f t="shared" ca="1" si="37"/>
        <v>- 46- 20.448 N</v>
      </c>
      <c r="D228" t="str">
        <f t="shared" ca="1" si="38"/>
        <v>^</v>
      </c>
      <c r="E228" t="str">
        <f t="shared" ca="1" si="39"/>
        <v>23^- 46- 20.448 N</v>
      </c>
      <c r="F228" t="str">
        <f t="shared" ca="1" si="40"/>
        <v>23^- 46- 20.448 N</v>
      </c>
      <c r="H228" t="s">
        <v>2712</v>
      </c>
      <c r="I228" t="str">
        <f t="shared" ca="1" si="41"/>
        <v xml:space="preserve">90- 30- </v>
      </c>
      <c r="J228" t="str">
        <f t="shared" ca="1" si="42"/>
        <v>0.957 E</v>
      </c>
      <c r="K228" t="str">
        <f t="shared" ca="1" si="43"/>
        <v>o</v>
      </c>
      <c r="L228" t="str">
        <f t="shared" ca="1" si="44"/>
        <v>90- 30- o0.957 E</v>
      </c>
      <c r="M228" t="str">
        <f t="shared" ca="1" si="45"/>
        <v>90- 30- o0.957 E</v>
      </c>
      <c r="N228">
        <f t="shared" ca="1" si="46"/>
        <v>23.772346666666667</v>
      </c>
      <c r="O228">
        <f t="shared" ca="1" si="47"/>
        <v>90.50026583333333</v>
      </c>
    </row>
    <row r="229" spans="1:15" x14ac:dyDescent="0.3">
      <c r="A229" t="s">
        <v>2219</v>
      </c>
      <c r="B229" t="str">
        <f t="shared" ca="1" si="36"/>
        <v>23- 46</v>
      </c>
      <c r="C229" t="str">
        <f t="shared" ca="1" si="37"/>
        <v>- 21.019 N</v>
      </c>
      <c r="D229" t="str">
        <f t="shared" ca="1" si="38"/>
        <v>K</v>
      </c>
      <c r="E229" t="str">
        <f t="shared" ca="1" si="39"/>
        <v>23- 46K- 21.019 N</v>
      </c>
      <c r="F229" t="str">
        <f t="shared" ca="1" si="40"/>
        <v>23- 46K- 21.019 N</v>
      </c>
      <c r="H229" t="s">
        <v>2713</v>
      </c>
      <c r="I229" t="str">
        <f t="shared" ca="1" si="41"/>
        <v>90- 30- 3</v>
      </c>
      <c r="J229" t="str">
        <f t="shared" ca="1" si="42"/>
        <v>6.256 E</v>
      </c>
      <c r="K229" t="str">
        <f t="shared" ca="1" si="43"/>
        <v>PPP</v>
      </c>
      <c r="L229" t="str">
        <f t="shared" ca="1" si="44"/>
        <v>90- 30- 3PPP6.256 E</v>
      </c>
      <c r="M229" t="str">
        <f t="shared" ca="1" si="45"/>
        <v>90- 30- 3PPP6.256 E</v>
      </c>
      <c r="N229">
        <f t="shared" ca="1" si="46"/>
        <v>23.772505277777778</v>
      </c>
      <c r="O229">
        <f t="shared" ca="1" si="47"/>
        <v>90.510071111111117</v>
      </c>
    </row>
    <row r="230" spans="1:15" x14ac:dyDescent="0.3">
      <c r="A230" t="s">
        <v>2220</v>
      </c>
      <c r="B230" t="str">
        <f t="shared" ca="1" si="36"/>
        <v>23- 46- 4</v>
      </c>
      <c r="C230" t="str">
        <f t="shared" ca="1" si="37"/>
        <v>2.888 N</v>
      </c>
      <c r="D230" t="str">
        <f t="shared" ca="1" si="38"/>
        <v>sssss</v>
      </c>
      <c r="E230" t="str">
        <f t="shared" ca="1" si="39"/>
        <v>23- 46- 4sssss2.888 N</v>
      </c>
      <c r="F230" t="str">
        <f t="shared" ca="1" si="40"/>
        <v>23- 46- 4sssss2.888 N</v>
      </c>
      <c r="H230" t="s">
        <v>2714</v>
      </c>
      <c r="I230" t="str">
        <f t="shared" ca="1" si="41"/>
        <v>90- 20- 0.26</v>
      </c>
      <c r="J230" t="str">
        <f t="shared" ca="1" si="42"/>
        <v>2 E</v>
      </c>
      <c r="K230" t="str">
        <f t="shared" ca="1" si="43"/>
        <v>jjjj</v>
      </c>
      <c r="L230" t="str">
        <f t="shared" ca="1" si="44"/>
        <v>90- 20- 0.26jjjj2 E</v>
      </c>
      <c r="M230" t="str">
        <f t="shared" ca="1" si="45"/>
        <v>90- 20- 0.26jjjj2 E</v>
      </c>
      <c r="N230">
        <f t="shared" ca="1" si="46"/>
        <v>23.778579999999998</v>
      </c>
      <c r="O230">
        <f t="shared" ca="1" si="47"/>
        <v>90.333406111111103</v>
      </c>
    </row>
    <row r="231" spans="1:15" x14ac:dyDescent="0.3">
      <c r="A231" t="s">
        <v>2221</v>
      </c>
      <c r="B231" t="str">
        <f t="shared" ca="1" si="36"/>
        <v>23- 46- 43.49</v>
      </c>
      <c r="C231" t="str">
        <f t="shared" ca="1" si="37"/>
        <v>7 N</v>
      </c>
      <c r="D231" t="str">
        <f t="shared" ca="1" si="38"/>
        <v>[[[</v>
      </c>
      <c r="E231" t="str">
        <f t="shared" ca="1" si="39"/>
        <v>23- 46- 43.49[[[7 N</v>
      </c>
      <c r="F231" t="str">
        <f t="shared" ca="1" si="40"/>
        <v>23- 46- 43.49[[[7 N</v>
      </c>
      <c r="H231" t="s">
        <v>2715</v>
      </c>
      <c r="I231" t="str">
        <f t="shared" ca="1" si="41"/>
        <v>90- 20- 3</v>
      </c>
      <c r="J231" t="str">
        <f t="shared" ca="1" si="42"/>
        <v>5.558 E</v>
      </c>
      <c r="K231" t="str">
        <f t="shared" ca="1" si="43"/>
        <v>o</v>
      </c>
      <c r="L231" t="str">
        <f t="shared" ca="1" si="44"/>
        <v>90- 20- 3o5.558 E</v>
      </c>
      <c r="M231" t="str">
        <f t="shared" ca="1" si="45"/>
        <v>90- 20- 3o5.558 E</v>
      </c>
      <c r="N231">
        <f t="shared" ca="1" si="46"/>
        <v>23.778749166666667</v>
      </c>
      <c r="O231">
        <f t="shared" ca="1" si="47"/>
        <v>90.343210555555544</v>
      </c>
    </row>
    <row r="232" spans="1:15" x14ac:dyDescent="0.3">
      <c r="A232" t="s">
        <v>2222</v>
      </c>
      <c r="B232" t="str">
        <f t="shared" ca="1" si="36"/>
        <v xml:space="preserve">23- </v>
      </c>
      <c r="C232" t="str">
        <f t="shared" ca="1" si="37"/>
        <v>46- 44.104 N</v>
      </c>
      <c r="D232" t="str">
        <f t="shared" ca="1" si="38"/>
        <v>ppp</v>
      </c>
      <c r="E232" t="str">
        <f t="shared" ca="1" si="39"/>
        <v>23- ppp46- 44.104 N</v>
      </c>
      <c r="F232" t="str">
        <f t="shared" ca="1" si="40"/>
        <v>23- ppp46- 44.104 N</v>
      </c>
      <c r="H232" t="s">
        <v>2716</v>
      </c>
      <c r="I232" t="str">
        <f t="shared" ca="1" si="41"/>
        <v xml:space="preserve">90- 21- 10.854 </v>
      </c>
      <c r="J232" t="str">
        <f t="shared" ca="1" si="42"/>
        <v>E</v>
      </c>
      <c r="K232" t="str">
        <f t="shared" ca="1" si="43"/>
        <v>mmm</v>
      </c>
      <c r="L232" t="str">
        <f t="shared" ca="1" si="44"/>
        <v>90- 21- 10.854 mmmE</v>
      </c>
      <c r="M232" t="str">
        <f t="shared" ca="1" si="45"/>
        <v>90- 21- 10.854 mmmE</v>
      </c>
      <c r="N232">
        <f t="shared" ca="1" si="46"/>
        <v>23.778917777777778</v>
      </c>
      <c r="O232">
        <f t="shared" ca="1" si="47"/>
        <v>90.353014999999999</v>
      </c>
    </row>
    <row r="233" spans="1:15" x14ac:dyDescent="0.3">
      <c r="A233" t="s">
        <v>2223</v>
      </c>
      <c r="B233" t="str">
        <f t="shared" ca="1" si="36"/>
        <v>23- 46- 44.708 N</v>
      </c>
      <c r="C233" t="str">
        <f t="shared" ca="1" si="37"/>
        <v/>
      </c>
      <c r="D233" t="str">
        <f t="shared" ca="1" si="38"/>
        <v>h</v>
      </c>
      <c r="E233" t="str">
        <f t="shared" ca="1" si="39"/>
        <v>23- 46- 44.708 Nh</v>
      </c>
      <c r="F233" t="str">
        <f t="shared" ca="1" si="40"/>
        <v>23- 46- 44.708 Nh</v>
      </c>
      <c r="H233" t="s">
        <v>2717</v>
      </c>
      <c r="I233" t="str">
        <f t="shared" ca="1" si="41"/>
        <v>90- 21</v>
      </c>
      <c r="J233" t="str">
        <f t="shared" ca="1" si="42"/>
        <v>- 46.151 E</v>
      </c>
      <c r="K233" t="str">
        <f t="shared" ca="1" si="43"/>
        <v>~~~</v>
      </c>
      <c r="L233" t="str">
        <f t="shared" ca="1" si="44"/>
        <v>90- 21~~~- 46.151 E</v>
      </c>
      <c r="M233" t="str">
        <f t="shared" ca="1" si="45"/>
        <v>90- 21~~~- 46.151 E</v>
      </c>
      <c r="N233">
        <f t="shared" ca="1" si="46"/>
        <v>23.779085555555554</v>
      </c>
      <c r="O233">
        <f t="shared" ca="1" si="47"/>
        <v>90.362819722222213</v>
      </c>
    </row>
    <row r="234" spans="1:15" x14ac:dyDescent="0.3">
      <c r="A234" t="s">
        <v>2224</v>
      </c>
      <c r="B234" t="str">
        <f t="shared" ca="1" si="36"/>
        <v>23- 46- 45.</v>
      </c>
      <c r="C234" t="str">
        <f t="shared" ca="1" si="37"/>
        <v>310 N</v>
      </c>
      <c r="D234" t="str">
        <f t="shared" ca="1" si="38"/>
        <v>xxxx</v>
      </c>
      <c r="E234" t="str">
        <f t="shared" ca="1" si="39"/>
        <v>23- 46- 45.xxxx310 N</v>
      </c>
      <c r="F234" t="str">
        <f t="shared" ca="1" si="40"/>
        <v>23- 46- 45.xxxx310 N</v>
      </c>
      <c r="H234" t="s">
        <v>2718</v>
      </c>
      <c r="I234" t="str">
        <f t="shared" ca="1" si="41"/>
        <v xml:space="preserve">90- </v>
      </c>
      <c r="J234" t="str">
        <f t="shared" ca="1" si="42"/>
        <v>22- 21.448 E</v>
      </c>
      <c r="K234" t="str">
        <f t="shared" ca="1" si="43"/>
        <v>L</v>
      </c>
      <c r="L234" t="str">
        <f t="shared" ca="1" si="44"/>
        <v>90- L22- 21.448 E</v>
      </c>
      <c r="M234" t="str">
        <f t="shared" ca="1" si="45"/>
        <v>90- L22- 21.448 E</v>
      </c>
      <c r="N234">
        <f t="shared" ca="1" si="46"/>
        <v>23.779252777777778</v>
      </c>
      <c r="O234">
        <f t="shared" ca="1" si="47"/>
        <v>90.37262444444444</v>
      </c>
    </row>
    <row r="235" spans="1:15" x14ac:dyDescent="0.3">
      <c r="A235" t="s">
        <v>2225</v>
      </c>
      <c r="B235" t="str">
        <f t="shared" ca="1" si="36"/>
        <v>23- 46- 45.9</v>
      </c>
      <c r="C235" t="str">
        <f t="shared" ca="1" si="37"/>
        <v>10 N</v>
      </c>
      <c r="D235" t="str">
        <f t="shared" ca="1" si="38"/>
        <v>llll</v>
      </c>
      <c r="E235" t="str">
        <f t="shared" ca="1" si="39"/>
        <v>23- 46- 45.9llll10 N</v>
      </c>
      <c r="F235" t="str">
        <f t="shared" ca="1" si="40"/>
        <v>23- 46- 45.9llll10 N</v>
      </c>
      <c r="H235" t="s">
        <v>2719</v>
      </c>
      <c r="I235" t="str">
        <f t="shared" ca="1" si="41"/>
        <v>90- 22-</v>
      </c>
      <c r="J235" t="str">
        <f t="shared" ca="1" si="42"/>
        <v xml:space="preserve"> 56.745 E</v>
      </c>
      <c r="K235" t="str">
        <f t="shared" ca="1" si="43"/>
        <v>EE</v>
      </c>
      <c r="L235" t="str">
        <f t="shared" ca="1" si="44"/>
        <v>90- 22-EE 56.745 E</v>
      </c>
      <c r="M235" t="str">
        <f t="shared" ca="1" si="45"/>
        <v>90- 22-EE 56.745 E</v>
      </c>
      <c r="N235">
        <f t="shared" ca="1" si="46"/>
        <v>23.779419444444443</v>
      </c>
      <c r="O235">
        <f t="shared" ca="1" si="47"/>
        <v>90.382429166666654</v>
      </c>
    </row>
    <row r="236" spans="1:15" x14ac:dyDescent="0.3">
      <c r="A236" t="s">
        <v>2226</v>
      </c>
      <c r="B236" t="str">
        <f t="shared" ca="1" si="36"/>
        <v>23- 4</v>
      </c>
      <c r="C236" t="str">
        <f t="shared" ca="1" si="37"/>
        <v>6- 46.508 N</v>
      </c>
      <c r="D236" t="str">
        <f t="shared" ca="1" si="38"/>
        <v>WWWWW</v>
      </c>
      <c r="E236" t="str">
        <f t="shared" ca="1" si="39"/>
        <v>23- 4WWWWW6- 46.508 N</v>
      </c>
      <c r="F236" t="str">
        <f t="shared" ca="1" si="40"/>
        <v>23- 4WWWWW6- 46.508 N</v>
      </c>
      <c r="H236" t="s">
        <v>2720</v>
      </c>
      <c r="I236" t="str">
        <f t="shared" ca="1" si="41"/>
        <v>90</v>
      </c>
      <c r="J236" t="str">
        <f t="shared" ca="1" si="42"/>
        <v>- 23- 32.042 E</v>
      </c>
      <c r="K236" t="str">
        <f t="shared" ca="1" si="43"/>
        <v>bbbbb</v>
      </c>
      <c r="L236" t="str">
        <f t="shared" ca="1" si="44"/>
        <v>90bbbbb- 23- 32.042 E</v>
      </c>
      <c r="M236" t="str">
        <f t="shared" ca="1" si="45"/>
        <v>90bbbbb- 23- 32.042 E</v>
      </c>
      <c r="N236">
        <f t="shared" ca="1" si="46"/>
        <v>23.779585555555556</v>
      </c>
      <c r="O236">
        <f t="shared" ca="1" si="47"/>
        <v>90.392233888888896</v>
      </c>
    </row>
    <row r="237" spans="1:15" x14ac:dyDescent="0.3">
      <c r="A237" t="s">
        <v>2227</v>
      </c>
      <c r="B237" t="str">
        <f t="shared" ca="1" si="36"/>
        <v>23- 4</v>
      </c>
      <c r="C237" t="str">
        <f t="shared" ca="1" si="37"/>
        <v>6- 47.103 N</v>
      </c>
      <c r="D237" t="str">
        <f t="shared" ca="1" si="38"/>
        <v>GGGG</v>
      </c>
      <c r="E237" t="str">
        <f t="shared" ca="1" si="39"/>
        <v>23- 4GGGG6- 47.103 N</v>
      </c>
      <c r="F237" t="str">
        <f t="shared" ca="1" si="40"/>
        <v>23- 4GGGG6- 47.103 N</v>
      </c>
      <c r="H237" t="s">
        <v>2721</v>
      </c>
      <c r="I237" t="str">
        <f t="shared" ca="1" si="41"/>
        <v>90- 24- 7.3</v>
      </c>
      <c r="J237" t="str">
        <f t="shared" ca="1" si="42"/>
        <v>40 E</v>
      </c>
      <c r="K237" t="str">
        <f t="shared" ca="1" si="43"/>
        <v>MMMMM</v>
      </c>
      <c r="L237" t="str">
        <f t="shared" ca="1" si="44"/>
        <v>90- 24- 7.3MMMMM40 E</v>
      </c>
      <c r="M237" t="str">
        <f t="shared" ca="1" si="45"/>
        <v>90- 24- 7.3MMMMM40 E</v>
      </c>
      <c r="N237">
        <f t="shared" ca="1" si="46"/>
        <v>23.779750833333331</v>
      </c>
      <c r="O237">
        <f t="shared" ca="1" si="47"/>
        <v>90.402038888888896</v>
      </c>
    </row>
    <row r="238" spans="1:15" x14ac:dyDescent="0.3">
      <c r="A238" t="s">
        <v>2228</v>
      </c>
      <c r="B238" t="str">
        <f t="shared" ca="1" si="36"/>
        <v>23- 46- 47.</v>
      </c>
      <c r="C238" t="str">
        <f t="shared" ca="1" si="37"/>
        <v>696 N</v>
      </c>
      <c r="D238" t="str">
        <f t="shared" ca="1" si="38"/>
        <v>F</v>
      </c>
      <c r="E238" t="str">
        <f t="shared" ca="1" si="39"/>
        <v>23- 46- 47.F696 N</v>
      </c>
      <c r="F238" t="str">
        <f t="shared" ca="1" si="40"/>
        <v>23- 46- 47.F696 N</v>
      </c>
      <c r="H238" t="s">
        <v>2722</v>
      </c>
      <c r="I238" t="str">
        <f t="shared" ca="1" si="41"/>
        <v>90- 24- 42.</v>
      </c>
      <c r="J238" t="str">
        <f t="shared" ca="1" si="42"/>
        <v>638 E</v>
      </c>
      <c r="K238" t="str">
        <f t="shared" ca="1" si="43"/>
        <v>D</v>
      </c>
      <c r="L238" t="str">
        <f t="shared" ca="1" si="44"/>
        <v>90- 24- 42.D638 E</v>
      </c>
      <c r="M238" t="str">
        <f t="shared" ca="1" si="45"/>
        <v>90- 24- 42.D638 E</v>
      </c>
      <c r="N238">
        <f t="shared" ca="1" si="46"/>
        <v>23.779915555555554</v>
      </c>
      <c r="O238">
        <f t="shared" ca="1" si="47"/>
        <v>90.411843888888896</v>
      </c>
    </row>
    <row r="239" spans="1:15" x14ac:dyDescent="0.3">
      <c r="A239" t="s">
        <v>2229</v>
      </c>
      <c r="B239" t="str">
        <f t="shared" ca="1" si="36"/>
        <v>23- 4</v>
      </c>
      <c r="C239" t="str">
        <f t="shared" ca="1" si="37"/>
        <v>6- 48.287 N</v>
      </c>
      <c r="D239" t="str">
        <f t="shared" ca="1" si="38"/>
        <v>cc</v>
      </c>
      <c r="E239" t="str">
        <f t="shared" ca="1" si="39"/>
        <v>23- 4cc6- 48.287 N</v>
      </c>
      <c r="F239" t="str">
        <f t="shared" ca="1" si="40"/>
        <v>23- 4cc6- 48.287 N</v>
      </c>
      <c r="H239" t="s">
        <v>2723</v>
      </c>
      <c r="I239" t="str">
        <f t="shared" ca="1" si="41"/>
        <v>90- 25- 17</v>
      </c>
      <c r="J239" t="str">
        <f t="shared" ca="1" si="42"/>
        <v>.937 E</v>
      </c>
      <c r="K239" t="str">
        <f t="shared" ca="1" si="43"/>
        <v>www</v>
      </c>
      <c r="L239" t="str">
        <f t="shared" ca="1" si="44"/>
        <v>90- 25- 17www.937 E</v>
      </c>
      <c r="M239" t="str">
        <f t="shared" ca="1" si="45"/>
        <v>90- 25- 17www.937 E</v>
      </c>
      <c r="N239">
        <f t="shared" ca="1" si="46"/>
        <v>23.780079722222222</v>
      </c>
      <c r="O239">
        <f t="shared" ca="1" si="47"/>
        <v>90.421649166666668</v>
      </c>
    </row>
    <row r="240" spans="1:15" x14ac:dyDescent="0.3">
      <c r="A240" t="s">
        <v>2230</v>
      </c>
      <c r="B240" t="str">
        <f t="shared" ca="1" si="36"/>
        <v>23- 46- 48.87</v>
      </c>
      <c r="C240" t="str">
        <f t="shared" ca="1" si="37"/>
        <v>6 N</v>
      </c>
      <c r="D240" t="str">
        <f t="shared" ca="1" si="38"/>
        <v></v>
      </c>
      <c r="E240" t="str">
        <f t="shared" ca="1" si="39"/>
        <v>23- 46- 48.876 N</v>
      </c>
      <c r="F240" t="str">
        <f t="shared" ca="1" si="40"/>
        <v>23- 46- 48.876 N</v>
      </c>
      <c r="H240" t="s">
        <v>2724</v>
      </c>
      <c r="I240" t="str">
        <f t="shared" ca="1" si="41"/>
        <v>90- 25- 53.236</v>
      </c>
      <c r="J240" t="str">
        <f t="shared" ca="1" si="42"/>
        <v xml:space="preserve"> E</v>
      </c>
      <c r="K240" t="str">
        <f t="shared" ca="1" si="43"/>
        <v>nnn</v>
      </c>
      <c r="L240" t="str">
        <f t="shared" ca="1" si="44"/>
        <v>90- 25- 53.236nnn E</v>
      </c>
      <c r="M240" t="str">
        <f t="shared" ca="1" si="45"/>
        <v>90- 25- 53.236nnn E</v>
      </c>
      <c r="N240">
        <f t="shared" ca="1" si="46"/>
        <v>23.780243333333331</v>
      </c>
      <c r="O240">
        <f t="shared" ca="1" si="47"/>
        <v>90.431454444444455</v>
      </c>
    </row>
    <row r="241" spans="1:15" x14ac:dyDescent="0.3">
      <c r="A241" t="s">
        <v>2231</v>
      </c>
      <c r="B241" t="str">
        <f t="shared" ca="1" si="36"/>
        <v xml:space="preserve">23- </v>
      </c>
      <c r="C241" t="str">
        <f t="shared" ca="1" si="37"/>
        <v>46- 49.463 N</v>
      </c>
      <c r="D241" t="str">
        <f t="shared" ca="1" si="38"/>
        <v>WWWWW</v>
      </c>
      <c r="E241" t="str">
        <f t="shared" ca="1" si="39"/>
        <v>23- WWWWW46- 49.463 N</v>
      </c>
      <c r="F241" t="str">
        <f t="shared" ca="1" si="40"/>
        <v>23- WWWWW46- 49.463 N</v>
      </c>
      <c r="H241" t="s">
        <v>2725</v>
      </c>
      <c r="I241" t="str">
        <f t="shared" ca="1" si="41"/>
        <v>9</v>
      </c>
      <c r="J241" t="str">
        <f t="shared" ca="1" si="42"/>
        <v>0- 26- 28.535 E</v>
      </c>
      <c r="K241" t="str">
        <f t="shared" ca="1" si="43"/>
        <v>€€€€€</v>
      </c>
      <c r="L241" t="str">
        <f t="shared" ca="1" si="44"/>
        <v>9€€€€€0- 26- 28.535 E</v>
      </c>
      <c r="M241" t="str">
        <f t="shared" ca="1" si="45"/>
        <v>9€€€€€0- 26- 28.535 E</v>
      </c>
      <c r="N241">
        <f t="shared" ca="1" si="46"/>
        <v>23.780406388888888</v>
      </c>
      <c r="O241">
        <f t="shared" ca="1" si="47"/>
        <v>90.441259722222227</v>
      </c>
    </row>
    <row r="242" spans="1:15" x14ac:dyDescent="0.3">
      <c r="A242" t="s">
        <v>2232</v>
      </c>
      <c r="B242" t="str">
        <f t="shared" ca="1" si="36"/>
        <v>23- 46</v>
      </c>
      <c r="C242" t="str">
        <f t="shared" ca="1" si="37"/>
        <v>- 50.047 N</v>
      </c>
      <c r="D242" t="str">
        <f t="shared" ca="1" si="38"/>
        <v>[</v>
      </c>
      <c r="E242" t="str">
        <f t="shared" ca="1" si="39"/>
        <v>23- 46[- 50.047 N</v>
      </c>
      <c r="F242" t="str">
        <f t="shared" ca="1" si="40"/>
        <v>23- 46[- 50.047 N</v>
      </c>
      <c r="H242" t="s">
        <v>2726</v>
      </c>
      <c r="I242" t="str">
        <f t="shared" ca="1" si="41"/>
        <v>90- 27- 3.834 E</v>
      </c>
      <c r="J242" t="str">
        <f t="shared" ca="1" si="42"/>
        <v/>
      </c>
      <c r="K242" t="str">
        <f t="shared" ca="1" si="43"/>
        <v>JJJ</v>
      </c>
      <c r="L242" t="str">
        <f t="shared" ca="1" si="44"/>
        <v>90- 27- 3.834 EJJJ</v>
      </c>
      <c r="M242" t="str">
        <f t="shared" ca="1" si="45"/>
        <v>90- 27- 3.834 EJJJ</v>
      </c>
      <c r="N242">
        <f t="shared" ca="1" si="46"/>
        <v>23.780568611111111</v>
      </c>
      <c r="O242">
        <f t="shared" ca="1" si="47"/>
        <v>90.451065</v>
      </c>
    </row>
    <row r="243" spans="1:15" x14ac:dyDescent="0.3">
      <c r="A243" t="s">
        <v>2233</v>
      </c>
      <c r="B243" t="str">
        <f t="shared" ca="1" si="36"/>
        <v>23- 46- 50.</v>
      </c>
      <c r="C243" t="str">
        <f t="shared" ca="1" si="37"/>
        <v>629 N</v>
      </c>
      <c r="D243" t="str">
        <f t="shared" ca="1" si="38"/>
        <v>````</v>
      </c>
      <c r="E243" t="str">
        <f t="shared" ca="1" si="39"/>
        <v>23- 46- 50.````629 N</v>
      </c>
      <c r="F243" t="str">
        <f t="shared" ca="1" si="40"/>
        <v>23- 46- 50.````629 N</v>
      </c>
      <c r="H243" t="s">
        <v>2727</v>
      </c>
      <c r="I243" t="str">
        <f t="shared" ca="1" si="41"/>
        <v xml:space="preserve">90- 27- 39.134 </v>
      </c>
      <c r="J243" t="str">
        <f t="shared" ca="1" si="42"/>
        <v>E</v>
      </c>
      <c r="K243" t="str">
        <f t="shared" ca="1" si="43"/>
        <v>L</v>
      </c>
      <c r="L243" t="str">
        <f t="shared" ca="1" si="44"/>
        <v>90- 27- 39.134 LE</v>
      </c>
      <c r="M243" t="str">
        <f t="shared" ca="1" si="45"/>
        <v>90- 27- 39.134 LE</v>
      </c>
      <c r="N243">
        <f t="shared" ca="1" si="46"/>
        <v>23.780730277777778</v>
      </c>
      <c r="O243">
        <f t="shared" ca="1" si="47"/>
        <v>90.460870555555559</v>
      </c>
    </row>
    <row r="244" spans="1:15" x14ac:dyDescent="0.3">
      <c r="A244" t="s">
        <v>2234</v>
      </c>
      <c r="B244" t="str">
        <f t="shared" ca="1" si="36"/>
        <v xml:space="preserve">23- 46- </v>
      </c>
      <c r="C244" t="str">
        <f t="shared" ca="1" si="37"/>
        <v>51.209 N</v>
      </c>
      <c r="D244" t="str">
        <f t="shared" ca="1" si="38"/>
        <v>aaaa</v>
      </c>
      <c r="E244" t="str">
        <f t="shared" ca="1" si="39"/>
        <v>23- 46- aaaa51.209 N</v>
      </c>
      <c r="F244" t="str">
        <f t="shared" ca="1" si="40"/>
        <v>23- 46- aaaa51.209 N</v>
      </c>
      <c r="H244" t="s">
        <v>2728</v>
      </c>
      <c r="I244" t="str">
        <f t="shared" ca="1" si="41"/>
        <v>9</v>
      </c>
      <c r="J244" t="str">
        <f t="shared" ca="1" si="42"/>
        <v>0- 28- 14.434 E</v>
      </c>
      <c r="K244" t="str">
        <f t="shared" ca="1" si="43"/>
        <v>BBB</v>
      </c>
      <c r="L244" t="str">
        <f t="shared" ca="1" si="44"/>
        <v>9BBB0- 28- 14.434 E</v>
      </c>
      <c r="M244" t="str">
        <f t="shared" ca="1" si="45"/>
        <v>9BBB0- 28- 14.434 E</v>
      </c>
      <c r="N244">
        <f t="shared" ca="1" si="46"/>
        <v>23.78089138888889</v>
      </c>
      <c r="O244">
        <f t="shared" ca="1" si="47"/>
        <v>90.470676111111118</v>
      </c>
    </row>
    <row r="245" spans="1:15" x14ac:dyDescent="0.3">
      <c r="A245" t="s">
        <v>2235</v>
      </c>
      <c r="B245" t="str">
        <f t="shared" ca="1" si="36"/>
        <v>23-</v>
      </c>
      <c r="C245" t="str">
        <f t="shared" ca="1" si="37"/>
        <v xml:space="preserve"> 46- 51.786 N</v>
      </c>
      <c r="D245" t="str">
        <f t="shared" ca="1" si="38"/>
        <v>ss</v>
      </c>
      <c r="E245" t="str">
        <f t="shared" ca="1" si="39"/>
        <v>23-ss 46- 51.786 N</v>
      </c>
      <c r="F245" t="str">
        <f t="shared" ca="1" si="40"/>
        <v>23-ss 46- 51.786 N</v>
      </c>
      <c r="H245" t="s">
        <v>2729</v>
      </c>
      <c r="I245" t="str">
        <f t="shared" ca="1" si="41"/>
        <v xml:space="preserve">90- </v>
      </c>
      <c r="J245" t="str">
        <f t="shared" ca="1" si="42"/>
        <v>28- 49.734 E</v>
      </c>
      <c r="K245" t="str">
        <f t="shared" ca="1" si="43"/>
        <v>___</v>
      </c>
      <c r="L245" t="str">
        <f t="shared" ca="1" si="44"/>
        <v>90- ___28- 49.734 E</v>
      </c>
      <c r="M245" t="str">
        <f t="shared" ca="1" si="45"/>
        <v>90- ___28- 49.734 E</v>
      </c>
      <c r="N245">
        <f t="shared" ca="1" si="46"/>
        <v>23.781051666666666</v>
      </c>
      <c r="O245">
        <f t="shared" ca="1" si="47"/>
        <v>90.480481666666662</v>
      </c>
    </row>
    <row r="246" spans="1:15" x14ac:dyDescent="0.3">
      <c r="A246" t="s">
        <v>2236</v>
      </c>
      <c r="B246" t="str">
        <f t="shared" ca="1" si="36"/>
        <v>23-</v>
      </c>
      <c r="C246" t="str">
        <f t="shared" ca="1" si="37"/>
        <v xml:space="preserve"> 46- 52.362 N</v>
      </c>
      <c r="D246" t="str">
        <f t="shared" ca="1" si="38"/>
        <v>oooo</v>
      </c>
      <c r="E246" t="str">
        <f t="shared" ca="1" si="39"/>
        <v>23-oooo 46- 52.362 N</v>
      </c>
      <c r="F246" t="str">
        <f t="shared" ca="1" si="40"/>
        <v>23-oooo 46- 52.362 N</v>
      </c>
      <c r="H246" t="s">
        <v>2730</v>
      </c>
      <c r="I246" t="str">
        <f t="shared" ca="1" si="41"/>
        <v>90</v>
      </c>
      <c r="J246" t="str">
        <f t="shared" ca="1" si="42"/>
        <v>- 29- 25.035 E</v>
      </c>
      <c r="K246" t="str">
        <f t="shared" ca="1" si="43"/>
        <v>MM</v>
      </c>
      <c r="L246" t="str">
        <f t="shared" ca="1" si="44"/>
        <v>90MM- 29- 25.035 E</v>
      </c>
      <c r="M246" t="str">
        <f t="shared" ca="1" si="45"/>
        <v>90MM- 29- 25.035 E</v>
      </c>
      <c r="N246">
        <f t="shared" ca="1" si="46"/>
        <v>23.781211666666664</v>
      </c>
      <c r="O246">
        <f t="shared" ca="1" si="47"/>
        <v>90.490287500000008</v>
      </c>
    </row>
    <row r="247" spans="1:15" x14ac:dyDescent="0.3">
      <c r="A247" t="s">
        <v>2237</v>
      </c>
      <c r="B247" t="str">
        <f t="shared" ca="1" si="36"/>
        <v>23- 46- 52.935</v>
      </c>
      <c r="C247" t="str">
        <f t="shared" ca="1" si="37"/>
        <v xml:space="preserve"> N</v>
      </c>
      <c r="D247" t="str">
        <f t="shared" ca="1" si="38"/>
        <v>bbbbb</v>
      </c>
      <c r="E247" t="str">
        <f t="shared" ca="1" si="39"/>
        <v>23- 46- 52.935bbbbb N</v>
      </c>
      <c r="F247" t="str">
        <f t="shared" ca="1" si="40"/>
        <v>23- 46- 52.935bbbbb N</v>
      </c>
      <c r="H247" t="s">
        <v>2731</v>
      </c>
      <c r="I247" t="str">
        <f t="shared" ca="1" si="41"/>
        <v xml:space="preserve">90- 30- 0.336 </v>
      </c>
      <c r="J247" t="str">
        <f t="shared" ca="1" si="42"/>
        <v>E</v>
      </c>
      <c r="K247" t="str">
        <f t="shared" ca="1" si="43"/>
        <v>t</v>
      </c>
      <c r="L247" t="str">
        <f t="shared" ca="1" si="44"/>
        <v>90- 30- 0.336 tE</v>
      </c>
      <c r="M247" t="str">
        <f t="shared" ca="1" si="45"/>
        <v>90- 30- 0.336 tE</v>
      </c>
      <c r="N247">
        <f t="shared" ca="1" si="46"/>
        <v>23.781370833333334</v>
      </c>
      <c r="O247">
        <f t="shared" ca="1" si="47"/>
        <v>90.500093333333339</v>
      </c>
    </row>
    <row r="248" spans="1:15" x14ac:dyDescent="0.3">
      <c r="A248" t="s">
        <v>2238</v>
      </c>
      <c r="B248" t="str">
        <f t="shared" ca="1" si="36"/>
        <v>23</v>
      </c>
      <c r="C248" t="str">
        <f t="shared" ca="1" si="37"/>
        <v>- 46- 53.505 N</v>
      </c>
      <c r="D248" t="str">
        <f t="shared" ca="1" si="38"/>
        <v>^</v>
      </c>
      <c r="E248" t="str">
        <f t="shared" ca="1" si="39"/>
        <v>23^- 46- 53.505 N</v>
      </c>
      <c r="F248" t="str">
        <f t="shared" ca="1" si="40"/>
        <v>23^- 46- 53.505 N</v>
      </c>
      <c r="H248" t="s">
        <v>2732</v>
      </c>
      <c r="I248" t="str">
        <f t="shared" ca="1" si="41"/>
        <v>90- 30- 35.63</v>
      </c>
      <c r="J248" t="str">
        <f t="shared" ca="1" si="42"/>
        <v>7 E</v>
      </c>
      <c r="K248" t="str">
        <f t="shared" ca="1" si="43"/>
        <v>ss</v>
      </c>
      <c r="L248" t="str">
        <f t="shared" ca="1" si="44"/>
        <v>90- 30- 35.63ss7 E</v>
      </c>
      <c r="M248" t="str">
        <f t="shared" ca="1" si="45"/>
        <v>90- 30- 35.63ss7 E</v>
      </c>
      <c r="N248">
        <f t="shared" ca="1" si="46"/>
        <v>23.781529166666665</v>
      </c>
      <c r="O248">
        <f t="shared" ca="1" si="47"/>
        <v>90.509899166666671</v>
      </c>
    </row>
    <row r="249" spans="1:15" x14ac:dyDescent="0.3">
      <c r="A249" t="s">
        <v>2239</v>
      </c>
      <c r="B249" t="str">
        <f t="shared" ca="1" si="36"/>
        <v>23- 47- 15.370 N</v>
      </c>
      <c r="C249" t="str">
        <f t="shared" ca="1" si="37"/>
        <v/>
      </c>
      <c r="D249" t="str">
        <f t="shared" ca="1" si="38"/>
        <v>III</v>
      </c>
      <c r="E249" t="str">
        <f t="shared" ca="1" si="39"/>
        <v>23- 47- 15.370 NIII</v>
      </c>
      <c r="F249" t="str">
        <f t="shared" ca="1" si="40"/>
        <v>23- 47- 15.370 NIII</v>
      </c>
      <c r="H249" t="s">
        <v>2733</v>
      </c>
      <c r="I249" t="str">
        <f t="shared" ca="1" si="41"/>
        <v>90- 19- 59.599 E</v>
      </c>
      <c r="J249" t="str">
        <f t="shared" ca="1" si="42"/>
        <v/>
      </c>
      <c r="K249" t="str">
        <f t="shared" ca="1" si="43"/>
        <v>bb</v>
      </c>
      <c r="L249" t="str">
        <f t="shared" ca="1" si="44"/>
        <v>90- 19- 59.599 Ebb</v>
      </c>
      <c r="M249" t="str">
        <f t="shared" ca="1" si="45"/>
        <v>90- 19- 59.599 Ebb</v>
      </c>
      <c r="N249">
        <f t="shared" ca="1" si="46"/>
        <v>23.787602777777778</v>
      </c>
      <c r="O249">
        <f t="shared" ca="1" si="47"/>
        <v>90.333221944444446</v>
      </c>
    </row>
    <row r="250" spans="1:15" x14ac:dyDescent="0.3">
      <c r="A250" t="s">
        <v>2240</v>
      </c>
      <c r="B250" t="str">
        <f t="shared" ca="1" si="36"/>
        <v>23- 47- 15</v>
      </c>
      <c r="C250" t="str">
        <f t="shared" ca="1" si="37"/>
        <v>.979 N</v>
      </c>
      <c r="D250" t="str">
        <f t="shared" ca="1" si="38"/>
        <v>DDD</v>
      </c>
      <c r="E250" t="str">
        <f t="shared" ca="1" si="39"/>
        <v>23- 47- 15DDD.979 N</v>
      </c>
      <c r="F250" t="str">
        <f t="shared" ca="1" si="40"/>
        <v>23- 47- 15DDD.979 N</v>
      </c>
      <c r="H250" t="s">
        <v>2734</v>
      </c>
      <c r="I250" t="str">
        <f t="shared" ca="1" si="41"/>
        <v>90- 20- 3</v>
      </c>
      <c r="J250" t="str">
        <f t="shared" ca="1" si="42"/>
        <v>4.897 E</v>
      </c>
      <c r="K250" t="str">
        <f t="shared" ca="1" si="43"/>
        <v>jjj</v>
      </c>
      <c r="L250" t="str">
        <f t="shared" ca="1" si="44"/>
        <v>90- 20- 3jjj4.897 E</v>
      </c>
      <c r="M250" t="str">
        <f t="shared" ca="1" si="45"/>
        <v>90- 20- 3jjj4.897 E</v>
      </c>
      <c r="N250">
        <f t="shared" ca="1" si="46"/>
        <v>23.787771944444447</v>
      </c>
      <c r="O250">
        <f t="shared" ca="1" si="47"/>
        <v>90.343026944444446</v>
      </c>
    </row>
    <row r="251" spans="1:15" x14ac:dyDescent="0.3">
      <c r="A251" t="s">
        <v>2241</v>
      </c>
      <c r="B251" t="str">
        <f t="shared" ca="1" si="36"/>
        <v>23- 47- 16</v>
      </c>
      <c r="C251" t="str">
        <f t="shared" ca="1" si="37"/>
        <v>.586 N</v>
      </c>
      <c r="D251" t="str">
        <f t="shared" ca="1" si="38"/>
        <v>m</v>
      </c>
      <c r="E251" t="str">
        <f t="shared" ca="1" si="39"/>
        <v>23- 47- 16m.586 N</v>
      </c>
      <c r="F251" t="str">
        <f t="shared" ca="1" si="40"/>
        <v>23- 47- 16m.586 N</v>
      </c>
      <c r="H251" t="s">
        <v>2735</v>
      </c>
      <c r="I251" t="str">
        <f t="shared" ca="1" si="41"/>
        <v>90-</v>
      </c>
      <c r="J251" t="str">
        <f t="shared" ca="1" si="42"/>
        <v xml:space="preserve"> 21- 10.196 E</v>
      </c>
      <c r="K251" t="str">
        <f t="shared" ca="1" si="43"/>
        <v>tttt</v>
      </c>
      <c r="L251" t="str">
        <f t="shared" ca="1" si="44"/>
        <v>90-tttt 21- 10.196 E</v>
      </c>
      <c r="M251" t="str">
        <f t="shared" ca="1" si="45"/>
        <v>90-tttt 21- 10.196 E</v>
      </c>
      <c r="N251">
        <f t="shared" ca="1" si="46"/>
        <v>23.787940555555558</v>
      </c>
      <c r="O251">
        <f t="shared" ca="1" si="47"/>
        <v>90.352832222222219</v>
      </c>
    </row>
    <row r="252" spans="1:15" x14ac:dyDescent="0.3">
      <c r="A252" t="s">
        <v>2242</v>
      </c>
      <c r="B252" t="str">
        <f t="shared" ca="1" si="36"/>
        <v>23- 47- 17.19</v>
      </c>
      <c r="C252" t="str">
        <f t="shared" ca="1" si="37"/>
        <v>1 N</v>
      </c>
      <c r="D252" t="str">
        <f t="shared" ca="1" si="38"/>
        <v>zz</v>
      </c>
      <c r="E252" t="str">
        <f t="shared" ca="1" si="39"/>
        <v>23- 47- 17.19zz1 N</v>
      </c>
      <c r="F252" t="str">
        <f t="shared" ca="1" si="40"/>
        <v>23- 47- 17.19zz1 N</v>
      </c>
      <c r="H252" t="s">
        <v>2736</v>
      </c>
      <c r="I252" t="str">
        <f t="shared" ca="1" si="41"/>
        <v>90- 2</v>
      </c>
      <c r="J252" t="str">
        <f t="shared" ca="1" si="42"/>
        <v>1- 45.495 E</v>
      </c>
      <c r="K252" t="str">
        <f t="shared" ca="1" si="43"/>
        <v>EE</v>
      </c>
      <c r="L252" t="str">
        <f t="shared" ca="1" si="44"/>
        <v>90- 2EE1- 45.495 E</v>
      </c>
      <c r="M252" t="str">
        <f t="shared" ca="1" si="45"/>
        <v>90- 2EE1- 45.495 E</v>
      </c>
      <c r="N252">
        <f t="shared" ca="1" si="46"/>
        <v>23.788108611111113</v>
      </c>
      <c r="O252">
        <f t="shared" ca="1" si="47"/>
        <v>90.362637499999991</v>
      </c>
    </row>
    <row r="253" spans="1:15" x14ac:dyDescent="0.3">
      <c r="A253" t="s">
        <v>2243</v>
      </c>
      <c r="B253" t="str">
        <f t="shared" ca="1" si="36"/>
        <v>23</v>
      </c>
      <c r="C253" t="str">
        <f t="shared" ca="1" si="37"/>
        <v>- 47- 17.793 N</v>
      </c>
      <c r="D253" t="str">
        <f t="shared" ca="1" si="38"/>
        <v>RR</v>
      </c>
      <c r="E253" t="str">
        <f t="shared" ca="1" si="39"/>
        <v>23RR- 47- 17.793 N</v>
      </c>
      <c r="F253" t="str">
        <f t="shared" ca="1" si="40"/>
        <v>23RR- 47- 17.793 N</v>
      </c>
      <c r="H253" t="s">
        <v>2737</v>
      </c>
      <c r="I253" t="str">
        <f t="shared" ca="1" si="41"/>
        <v>90- 22- 2</v>
      </c>
      <c r="J253" t="str">
        <f t="shared" ca="1" si="42"/>
        <v>0.794 E</v>
      </c>
      <c r="K253" t="str">
        <f t="shared" ca="1" si="43"/>
        <v>[[[[[</v>
      </c>
      <c r="L253" t="str">
        <f t="shared" ca="1" si="44"/>
        <v>90- 22- 2[[[[[0.794 E</v>
      </c>
      <c r="M253" t="str">
        <f t="shared" ca="1" si="45"/>
        <v>90- 22- 2[[[[[0.794 E</v>
      </c>
      <c r="N253">
        <f t="shared" ca="1" si="46"/>
        <v>23.788275833333334</v>
      </c>
      <c r="O253">
        <f t="shared" ca="1" si="47"/>
        <v>90.372442777777778</v>
      </c>
    </row>
    <row r="254" spans="1:15" x14ac:dyDescent="0.3">
      <c r="A254" t="s">
        <v>2244</v>
      </c>
      <c r="B254" t="str">
        <f t="shared" ca="1" si="36"/>
        <v>23- 47-</v>
      </c>
      <c r="C254" t="str">
        <f t="shared" ca="1" si="37"/>
        <v xml:space="preserve"> 18.393 N</v>
      </c>
      <c r="D254" t="str">
        <f t="shared" ca="1" si="38"/>
        <v>ww</v>
      </c>
      <c r="E254" t="str">
        <f t="shared" ca="1" si="39"/>
        <v>23- 47-ww 18.393 N</v>
      </c>
      <c r="F254" t="str">
        <f t="shared" ca="1" si="40"/>
        <v>23- 47-ww 18.393 N</v>
      </c>
      <c r="H254" t="s">
        <v>2738</v>
      </c>
      <c r="I254" t="str">
        <f t="shared" ca="1" si="41"/>
        <v>90- 2</v>
      </c>
      <c r="J254" t="str">
        <f t="shared" ca="1" si="42"/>
        <v>2- 56.094 E</v>
      </c>
      <c r="K254" t="str">
        <f t="shared" ca="1" si="43"/>
        <v>XX</v>
      </c>
      <c r="L254" t="str">
        <f t="shared" ca="1" si="44"/>
        <v>90- 2XX2- 56.094 E</v>
      </c>
      <c r="M254" t="str">
        <f t="shared" ca="1" si="45"/>
        <v>90- 2XX2- 56.094 E</v>
      </c>
      <c r="N254">
        <f t="shared" ca="1" si="46"/>
        <v>23.788442500000002</v>
      </c>
      <c r="O254">
        <f t="shared" ca="1" si="47"/>
        <v>90.382248333333322</v>
      </c>
    </row>
    <row r="255" spans="1:15" x14ac:dyDescent="0.3">
      <c r="A255" t="s">
        <v>2245</v>
      </c>
      <c r="B255" t="str">
        <f t="shared" ca="1" si="36"/>
        <v xml:space="preserve">23- </v>
      </c>
      <c r="C255" t="str">
        <f t="shared" ca="1" si="37"/>
        <v>47- 18.991 N</v>
      </c>
      <c r="D255" t="str">
        <f t="shared" ca="1" si="38"/>
        <v>yyyyy</v>
      </c>
      <c r="E255" t="str">
        <f t="shared" ca="1" si="39"/>
        <v>23- yyyyy47- 18.991 N</v>
      </c>
      <c r="F255" t="str">
        <f t="shared" ca="1" si="40"/>
        <v>23- yyyyy47- 18.991 N</v>
      </c>
      <c r="H255" t="s">
        <v>2739</v>
      </c>
      <c r="I255" t="str">
        <f t="shared" ca="1" si="41"/>
        <v>90- 23- 3</v>
      </c>
      <c r="J255" t="str">
        <f t="shared" ca="1" si="42"/>
        <v>1.394 E</v>
      </c>
      <c r="K255" t="str">
        <f t="shared" ca="1" si="43"/>
        <v>NNNN</v>
      </c>
      <c r="L255" t="str">
        <f t="shared" ca="1" si="44"/>
        <v>90- 23- 3NNNN1.394 E</v>
      </c>
      <c r="M255" t="str">
        <f t="shared" ca="1" si="45"/>
        <v>90- 23- 3NNNN1.394 E</v>
      </c>
      <c r="N255">
        <f t="shared" ca="1" si="46"/>
        <v>23.788608611111112</v>
      </c>
      <c r="O255">
        <f t="shared" ca="1" si="47"/>
        <v>90.392053888888896</v>
      </c>
    </row>
    <row r="256" spans="1:15" x14ac:dyDescent="0.3">
      <c r="A256" t="s">
        <v>2246</v>
      </c>
      <c r="B256" t="str">
        <f t="shared" ca="1" si="36"/>
        <v>23- 47- 1</v>
      </c>
      <c r="C256" t="str">
        <f t="shared" ca="1" si="37"/>
        <v>9.587 N</v>
      </c>
      <c r="D256" t="str">
        <f t="shared" ca="1" si="38"/>
        <v>ssss</v>
      </c>
      <c r="E256" t="str">
        <f t="shared" ca="1" si="39"/>
        <v>23- 47- 1ssss9.587 N</v>
      </c>
      <c r="F256" t="str">
        <f t="shared" ca="1" si="40"/>
        <v>23- 47- 1ssss9.587 N</v>
      </c>
      <c r="H256" t="s">
        <v>2740</v>
      </c>
      <c r="I256" t="str">
        <f t="shared" ca="1" si="41"/>
        <v>90- 24- 6.6</v>
      </c>
      <c r="J256" t="str">
        <f t="shared" ca="1" si="42"/>
        <v>94 E</v>
      </c>
      <c r="K256" t="str">
        <f t="shared" ca="1" si="43"/>
        <v>ZZZ</v>
      </c>
      <c r="L256" t="str">
        <f t="shared" ca="1" si="44"/>
        <v>90- 24- 6.6ZZZ94 E</v>
      </c>
      <c r="M256" t="str">
        <f t="shared" ca="1" si="45"/>
        <v>90- 24- 6.6ZZZ94 E</v>
      </c>
      <c r="N256">
        <f t="shared" ca="1" si="46"/>
        <v>23.78877416666667</v>
      </c>
      <c r="O256">
        <f t="shared" ca="1" si="47"/>
        <v>90.401859444444455</v>
      </c>
    </row>
    <row r="257" spans="1:15" x14ac:dyDescent="0.3">
      <c r="A257" t="s">
        <v>2247</v>
      </c>
      <c r="B257" t="str">
        <f t="shared" ca="1" si="36"/>
        <v>23- 47- 20.180 N</v>
      </c>
      <c r="C257" t="str">
        <f t="shared" ca="1" si="37"/>
        <v/>
      </c>
      <c r="D257" t="str">
        <f t="shared" ca="1" si="38"/>
        <v>`````</v>
      </c>
      <c r="E257" t="str">
        <f t="shared" ca="1" si="39"/>
        <v>23- 47- 20.180 N`````</v>
      </c>
      <c r="F257" t="str">
        <f t="shared" ca="1" si="40"/>
        <v>23- 47- 20.180 N`````</v>
      </c>
      <c r="H257" t="s">
        <v>2741</v>
      </c>
      <c r="I257" t="str">
        <f t="shared" ca="1" si="41"/>
        <v>90- 24- 41.</v>
      </c>
      <c r="J257" t="str">
        <f t="shared" ca="1" si="42"/>
        <v>995 E</v>
      </c>
      <c r="K257" t="str">
        <f t="shared" ca="1" si="43"/>
        <v>UU</v>
      </c>
      <c r="L257" t="str">
        <f t="shared" ca="1" si="44"/>
        <v>90- 24- 41.UU995 E</v>
      </c>
      <c r="M257" t="str">
        <f t="shared" ca="1" si="45"/>
        <v>90- 24- 41.UU995 E</v>
      </c>
      <c r="N257">
        <f t="shared" ca="1" si="46"/>
        <v>23.78893888888889</v>
      </c>
      <c r="O257">
        <f t="shared" ca="1" si="47"/>
        <v>90.411665277777786</v>
      </c>
    </row>
    <row r="258" spans="1:15" x14ac:dyDescent="0.3">
      <c r="A258" t="s">
        <v>2248</v>
      </c>
      <c r="B258" t="str">
        <f t="shared" ref="B258:B321" ca="1" si="48">LEFT(A258,RANDBETWEEN(1,LEN(A258)))</f>
        <v>23- 47- 20.771</v>
      </c>
      <c r="C258" t="str">
        <f t="shared" ref="C258:C321" ca="1" si="49">SUBSTITUTE(A258,B258,"")</f>
        <v xml:space="preserve"> N</v>
      </c>
      <c r="D258" t="str">
        <f t="shared" ca="1" si="38"/>
        <v>GGG</v>
      </c>
      <c r="E258" t="str">
        <f t="shared" ca="1" si="39"/>
        <v>23- 47- 20.771GGG N</v>
      </c>
      <c r="F258" t="str">
        <f t="shared" ca="1" si="40"/>
        <v>23- 47- 20.771GGG N</v>
      </c>
      <c r="H258" t="s">
        <v>2742</v>
      </c>
      <c r="I258" t="str">
        <f t="shared" ca="1" si="41"/>
        <v>90- 25- 17.29</v>
      </c>
      <c r="J258" t="str">
        <f t="shared" ca="1" si="42"/>
        <v>6 E</v>
      </c>
      <c r="K258" t="str">
        <f t="shared" ca="1" si="43"/>
        <v>aaaa</v>
      </c>
      <c r="L258" t="str">
        <f t="shared" ca="1" si="44"/>
        <v>90- 25- 17.29aaaa6 E</v>
      </c>
      <c r="M258" t="str">
        <f t="shared" ca="1" si="45"/>
        <v>90- 25- 17.29aaaa6 E</v>
      </c>
      <c r="N258">
        <f t="shared" ca="1" si="46"/>
        <v>23.789103055555557</v>
      </c>
      <c r="O258">
        <f t="shared" ca="1" si="47"/>
        <v>90.421471111111117</v>
      </c>
    </row>
    <row r="259" spans="1:15" x14ac:dyDescent="0.3">
      <c r="A259" t="s">
        <v>2249</v>
      </c>
      <c r="B259" t="str">
        <f t="shared" ca="1" si="48"/>
        <v>23- 47- 21.3</v>
      </c>
      <c r="C259" t="str">
        <f t="shared" ca="1" si="49"/>
        <v>60 N</v>
      </c>
      <c r="D259" t="str">
        <f t="shared" ref="D259:D322" ca="1" si="50">IF(ISERROR(REPT(CHAR(RANDBETWEEN(65,128)),RANDBETWEEN(1,5))),"ee",(REPT(CHAR(RANDBETWEEN(65,128)),RANDBETWEEN(1,5))))</f>
        <v>EE</v>
      </c>
      <c r="E259" t="str">
        <f t="shared" ref="E259:E322" ca="1" si="51">B259&amp;D259&amp;C259</f>
        <v>23- 47- 21.3EE60 N</v>
      </c>
      <c r="F259" t="str">
        <f t="shared" ref="F259:F322" ca="1" si="52">E259</f>
        <v>23- 47- 21.3EE60 N</v>
      </c>
      <c r="H259" t="s">
        <v>2743</v>
      </c>
      <c r="I259" t="str">
        <f t="shared" ref="I259:I322" ca="1" si="53">LEFT(H259,RANDBETWEEN(1,LEN(H259)))</f>
        <v>90- 25- 52.5</v>
      </c>
      <c r="J259" t="str">
        <f t="shared" ref="J259:J322" ca="1" si="54">SUBSTITUTE(H259,I259,"")</f>
        <v>97 E</v>
      </c>
      <c r="K259" t="str">
        <f t="shared" ref="K259:K322" ca="1" si="55">IF(ISERROR(REPT(CHAR(RANDBETWEEN(65,128)),RANDBETWEEN(1,5))),"ee",(REPT(CHAR(RANDBETWEEN(65,128)),RANDBETWEEN(1,5))))</f>
        <v>VV</v>
      </c>
      <c r="L259" t="str">
        <f t="shared" ref="L259:L322" ca="1" si="56">I259&amp;K259&amp;J259</f>
        <v>90- 25- 52.5VV97 E</v>
      </c>
      <c r="M259" t="str">
        <f t="shared" ref="M259:M322" ca="1" si="57">L259</f>
        <v>90- 25- 52.5VV97 E</v>
      </c>
      <c r="N259">
        <f t="shared" ref="N259:N322" ca="1" si="58">DecimalDegreesConverter(F259,,,"-")</f>
        <v>23.78926666666667</v>
      </c>
      <c r="O259">
        <f t="shared" ref="O259:O322" ca="1" si="59">DecimalDegreesConverter(M259,,,"-")</f>
        <v>90.431276944444448</v>
      </c>
    </row>
    <row r="260" spans="1:15" x14ac:dyDescent="0.3">
      <c r="A260" t="s">
        <v>2250</v>
      </c>
      <c r="B260" t="str">
        <f t="shared" ca="1" si="48"/>
        <v>23- 47- 21.9</v>
      </c>
      <c r="C260" t="str">
        <f t="shared" ca="1" si="49"/>
        <v>47 N</v>
      </c>
      <c r="D260" t="str">
        <f t="shared" ca="1" si="50"/>
        <v>L</v>
      </c>
      <c r="E260" t="str">
        <f t="shared" ca="1" si="51"/>
        <v>23- 47- 21.9L47 N</v>
      </c>
      <c r="F260" t="str">
        <f t="shared" ca="1" si="52"/>
        <v>23- 47- 21.9L47 N</v>
      </c>
      <c r="H260" t="s">
        <v>2744</v>
      </c>
      <c r="I260" t="str">
        <f t="shared" ca="1" si="53"/>
        <v>90- 26- 27.</v>
      </c>
      <c r="J260" t="str">
        <f t="shared" ca="1" si="54"/>
        <v>899 E</v>
      </c>
      <c r="K260" t="str">
        <f t="shared" ca="1" si="55"/>
        <v>ZZZZ</v>
      </c>
      <c r="L260" t="str">
        <f t="shared" ca="1" si="56"/>
        <v>90- 26- 27.ZZZZ899 E</v>
      </c>
      <c r="M260" t="str">
        <f t="shared" ca="1" si="57"/>
        <v>90- 26- 27.ZZZZ899 E</v>
      </c>
      <c r="N260">
        <f t="shared" ca="1" si="58"/>
        <v>23.789429722222224</v>
      </c>
      <c r="O260">
        <f t="shared" ca="1" si="59"/>
        <v>90.441083055555566</v>
      </c>
    </row>
    <row r="261" spans="1:15" x14ac:dyDescent="0.3">
      <c r="A261" t="s">
        <v>2251</v>
      </c>
      <c r="B261" t="str">
        <f t="shared" ca="1" si="48"/>
        <v>2</v>
      </c>
      <c r="C261" t="str">
        <f t="shared" ca="1" si="49"/>
        <v>3- 47- .53 N</v>
      </c>
      <c r="D261" t="str">
        <f t="shared" ca="1" si="50"/>
        <v>}</v>
      </c>
      <c r="E261" t="str">
        <f t="shared" ca="1" si="51"/>
        <v>2}3- 47- .53 N</v>
      </c>
      <c r="F261" t="str">
        <f t="shared" ca="1" si="52"/>
        <v>2}3- 47- .53 N</v>
      </c>
      <c r="H261" t="s">
        <v>2745</v>
      </c>
      <c r="I261" t="str">
        <f t="shared" ca="1" si="53"/>
        <v>90-</v>
      </c>
      <c r="J261" t="str">
        <f t="shared" ca="1" si="54"/>
        <v xml:space="preserve"> 27- 3.200 E</v>
      </c>
      <c r="K261" t="str">
        <f t="shared" ca="1" si="55"/>
        <v>`</v>
      </c>
      <c r="L261" t="str">
        <f t="shared" ca="1" si="56"/>
        <v>90-` 27- 3.200 E</v>
      </c>
      <c r="M261" t="str">
        <f t="shared" ca="1" si="57"/>
        <v>90-` 27- 3.200 E</v>
      </c>
      <c r="N261">
        <f t="shared" ca="1" si="58"/>
        <v>23.783480555555556</v>
      </c>
      <c r="O261">
        <f t="shared" ca="1" si="59"/>
        <v>90.450888888888898</v>
      </c>
    </row>
    <row r="262" spans="1:15" x14ac:dyDescent="0.3">
      <c r="A262" t="s">
        <v>2252</v>
      </c>
      <c r="B262" t="str">
        <f t="shared" ca="1" si="48"/>
        <v>23- 47- 23.114 N</v>
      </c>
      <c r="C262" t="str">
        <f t="shared" ca="1" si="49"/>
        <v/>
      </c>
      <c r="D262" t="str">
        <f t="shared" ca="1" si="50"/>
        <v>JJ</v>
      </c>
      <c r="E262" t="str">
        <f t="shared" ca="1" si="51"/>
        <v>23- 47- 23.114 NJJ</v>
      </c>
      <c r="F262" t="str">
        <f t="shared" ca="1" si="52"/>
        <v>23- 47- 23.114 NJJ</v>
      </c>
      <c r="H262" t="s">
        <v>2746</v>
      </c>
      <c r="I262" t="str">
        <f t="shared" ca="1" si="53"/>
        <v>90- 27- 38.503 E</v>
      </c>
      <c r="J262" t="str">
        <f t="shared" ca="1" si="54"/>
        <v/>
      </c>
      <c r="K262" t="str">
        <f t="shared" ca="1" si="55"/>
        <v>NNN</v>
      </c>
      <c r="L262" t="str">
        <f t="shared" ca="1" si="56"/>
        <v>90- 27- 38.503 ENNN</v>
      </c>
      <c r="M262" t="str">
        <f t="shared" ca="1" si="57"/>
        <v>90- 27- 38.503 ENNN</v>
      </c>
      <c r="N262">
        <f t="shared" ca="1" si="58"/>
        <v>23.789753888888889</v>
      </c>
      <c r="O262">
        <f t="shared" ca="1" si="59"/>
        <v>90.460695277777774</v>
      </c>
    </row>
    <row r="263" spans="1:15" x14ac:dyDescent="0.3">
      <c r="A263" t="s">
        <v>2253</v>
      </c>
      <c r="B263" t="str">
        <f t="shared" ca="1" si="48"/>
        <v>23-</v>
      </c>
      <c r="C263" t="str">
        <f t="shared" ca="1" si="49"/>
        <v xml:space="preserve"> 47- 23.694 N</v>
      </c>
      <c r="D263" t="str">
        <f t="shared" ca="1" si="50"/>
        <v>AAA</v>
      </c>
      <c r="E263" t="str">
        <f t="shared" ca="1" si="51"/>
        <v>23-AAA 47- 23.694 N</v>
      </c>
      <c r="F263" t="str">
        <f t="shared" ca="1" si="52"/>
        <v>23-AAA 47- 23.694 N</v>
      </c>
      <c r="H263" t="s">
        <v>2747</v>
      </c>
      <c r="I263" t="str">
        <f t="shared" ca="1" si="53"/>
        <v>90- 28- 13.805 E</v>
      </c>
      <c r="J263" t="str">
        <f t="shared" ca="1" si="54"/>
        <v/>
      </c>
      <c r="K263" t="str">
        <f t="shared" ca="1" si="55"/>
        <v>d</v>
      </c>
      <c r="L263" t="str">
        <f t="shared" ca="1" si="56"/>
        <v>90- 28- 13.805 Ed</v>
      </c>
      <c r="M263" t="str">
        <f t="shared" ca="1" si="57"/>
        <v>90- 28- 13.805 Ed</v>
      </c>
      <c r="N263">
        <f t="shared" ca="1" si="58"/>
        <v>23.789915000000001</v>
      </c>
      <c r="O263">
        <f t="shared" ca="1" si="59"/>
        <v>90.470501388888891</v>
      </c>
    </row>
    <row r="264" spans="1:15" x14ac:dyDescent="0.3">
      <c r="A264" t="s">
        <v>2254</v>
      </c>
      <c r="B264" t="str">
        <f t="shared" ca="1" si="48"/>
        <v>23- 47-</v>
      </c>
      <c r="C264" t="str">
        <f t="shared" ca="1" si="49"/>
        <v xml:space="preserve"> 24.272 N</v>
      </c>
      <c r="D264" t="str">
        <f t="shared" ca="1" si="50"/>
        <v>JJ</v>
      </c>
      <c r="E264" t="str">
        <f t="shared" ca="1" si="51"/>
        <v>23- 47-JJ 24.272 N</v>
      </c>
      <c r="F264" t="str">
        <f t="shared" ca="1" si="52"/>
        <v>23- 47-JJ 24.272 N</v>
      </c>
      <c r="H264" t="s">
        <v>2748</v>
      </c>
      <c r="I264" t="str">
        <f t="shared" ca="1" si="53"/>
        <v>90- 28- 49.108</v>
      </c>
      <c r="J264" t="str">
        <f t="shared" ca="1" si="54"/>
        <v xml:space="preserve"> E</v>
      </c>
      <c r="K264" t="str">
        <f t="shared" ca="1" si="55"/>
        <v>TT</v>
      </c>
      <c r="L264" t="str">
        <f t="shared" ca="1" si="56"/>
        <v>90- 28- 49.108TT E</v>
      </c>
      <c r="M264" t="str">
        <f t="shared" ca="1" si="57"/>
        <v>90- 28- 49.108TT E</v>
      </c>
      <c r="N264">
        <f t="shared" ca="1" si="58"/>
        <v>23.790075555555557</v>
      </c>
      <c r="O264">
        <f t="shared" ca="1" si="59"/>
        <v>90.480307777777782</v>
      </c>
    </row>
    <row r="265" spans="1:15" x14ac:dyDescent="0.3">
      <c r="A265" t="s">
        <v>2255</v>
      </c>
      <c r="B265" t="str">
        <f t="shared" ca="1" si="48"/>
        <v>23- 47- 24.847</v>
      </c>
      <c r="C265" t="str">
        <f t="shared" ca="1" si="49"/>
        <v xml:space="preserve"> N</v>
      </c>
      <c r="D265" t="str">
        <f t="shared" ca="1" si="50"/>
        <v>J</v>
      </c>
      <c r="E265" t="str">
        <f t="shared" ca="1" si="51"/>
        <v>23- 47- 24.847J N</v>
      </c>
      <c r="F265" t="str">
        <f t="shared" ca="1" si="52"/>
        <v>23- 47- 24.847J N</v>
      </c>
      <c r="H265" t="s">
        <v>2749</v>
      </c>
      <c r="I265" t="str">
        <f t="shared" ca="1" si="53"/>
        <v>90- 29- 24.41</v>
      </c>
      <c r="J265" t="str">
        <f t="shared" ca="1" si="54"/>
        <v>1 E</v>
      </c>
      <c r="K265" t="str">
        <f t="shared" ca="1" si="55"/>
        <v>xx</v>
      </c>
      <c r="L265" t="str">
        <f t="shared" ca="1" si="56"/>
        <v>90- 29- 24.41xx1 E</v>
      </c>
      <c r="M265" t="str">
        <f t="shared" ca="1" si="57"/>
        <v>90- 29- 24.41xx1 E</v>
      </c>
      <c r="N265">
        <f t="shared" ca="1" si="58"/>
        <v>23.790235277777779</v>
      </c>
      <c r="O265">
        <f t="shared" ca="1" si="59"/>
        <v>90.490114166666672</v>
      </c>
    </row>
    <row r="266" spans="1:15" x14ac:dyDescent="0.3">
      <c r="A266" t="s">
        <v>2256</v>
      </c>
      <c r="B266" t="str">
        <f t="shared" ca="1" si="48"/>
        <v xml:space="preserve">23- 47- 25.421 </v>
      </c>
      <c r="C266" t="str">
        <f t="shared" ca="1" si="49"/>
        <v>N</v>
      </c>
      <c r="D266" t="str">
        <f t="shared" ca="1" si="50"/>
        <v>III</v>
      </c>
      <c r="E266" t="str">
        <f t="shared" ca="1" si="51"/>
        <v>23- 47- 25.421 IIIN</v>
      </c>
      <c r="F266" t="str">
        <f t="shared" ca="1" si="52"/>
        <v>23- 47- 25.421 IIIN</v>
      </c>
      <c r="H266" t="s">
        <v>2750</v>
      </c>
      <c r="I266" t="str">
        <f t="shared" ca="1" si="53"/>
        <v>90- 2</v>
      </c>
      <c r="J266" t="str">
        <f t="shared" ca="1" si="54"/>
        <v>9- 59.714 E</v>
      </c>
      <c r="K266" t="str">
        <f t="shared" ca="1" si="55"/>
        <v>NN</v>
      </c>
      <c r="L266" t="str">
        <f t="shared" ca="1" si="56"/>
        <v>90- 2NN9- 59.714 E</v>
      </c>
      <c r="M266" t="str">
        <f t="shared" ca="1" si="57"/>
        <v>90- 2NN9- 59.714 E</v>
      </c>
      <c r="N266">
        <f t="shared" ca="1" si="58"/>
        <v>23.790394722222224</v>
      </c>
      <c r="O266">
        <f t="shared" ca="1" si="59"/>
        <v>90.499920555555562</v>
      </c>
    </row>
    <row r="267" spans="1:15" x14ac:dyDescent="0.3">
      <c r="A267" t="s">
        <v>2257</v>
      </c>
      <c r="B267" t="str">
        <f t="shared" ca="1" si="48"/>
        <v xml:space="preserve">23- 47- </v>
      </c>
      <c r="C267" t="str">
        <f t="shared" ca="1" si="49"/>
        <v>25.992 N</v>
      </c>
      <c r="D267" t="str">
        <f t="shared" ca="1" si="50"/>
        <v>}</v>
      </c>
      <c r="E267" t="str">
        <f t="shared" ca="1" si="51"/>
        <v>23- 47- }25.992 N</v>
      </c>
      <c r="F267" t="str">
        <f t="shared" ca="1" si="52"/>
        <v>23- 47- }25.992 N</v>
      </c>
      <c r="H267" t="s">
        <v>2751</v>
      </c>
      <c r="I267" t="str">
        <f t="shared" ca="1" si="53"/>
        <v>90- 30- 35.01</v>
      </c>
      <c r="J267" t="str">
        <f t="shared" ca="1" si="54"/>
        <v>8 E</v>
      </c>
      <c r="K267" t="str">
        <f t="shared" ca="1" si="55"/>
        <v>OOOOO</v>
      </c>
      <c r="L267" t="str">
        <f t="shared" ca="1" si="56"/>
        <v>90- 30- 35.01OOOOO8 E</v>
      </c>
      <c r="M267" t="str">
        <f t="shared" ca="1" si="57"/>
        <v>90- 30- 35.01OOOOO8 E</v>
      </c>
      <c r="N267">
        <f t="shared" ca="1" si="58"/>
        <v>23.790553333333335</v>
      </c>
      <c r="O267">
        <f t="shared" ca="1" si="59"/>
        <v>90.509727222222224</v>
      </c>
    </row>
    <row r="268" spans="1:15" x14ac:dyDescent="0.3">
      <c r="A268" t="s">
        <v>2258</v>
      </c>
      <c r="B268" t="str">
        <f t="shared" ca="1" si="48"/>
        <v>23</v>
      </c>
      <c r="C268" t="str">
        <f t="shared" ca="1" si="49"/>
        <v>- 47- 47.852 N</v>
      </c>
      <c r="D268" t="str">
        <f t="shared" ca="1" si="50"/>
        <v>AAAAA</v>
      </c>
      <c r="E268" t="str">
        <f t="shared" ca="1" si="51"/>
        <v>23AAAAA- 47- 47.852 N</v>
      </c>
      <c r="F268" t="str">
        <f t="shared" ca="1" si="52"/>
        <v>23AAAAA- 47- 47.852 N</v>
      </c>
      <c r="H268" t="s">
        <v>2752</v>
      </c>
      <c r="I268" t="str">
        <f t="shared" ca="1" si="53"/>
        <v>9</v>
      </c>
      <c r="J268" t="str">
        <f t="shared" ca="1" si="54"/>
        <v>0- 1- 58.36 E</v>
      </c>
      <c r="K268" t="str">
        <f t="shared" ca="1" si="55"/>
        <v>e</v>
      </c>
      <c r="L268" t="str">
        <f t="shared" ca="1" si="56"/>
        <v>9e0- 1- 58.36 E</v>
      </c>
      <c r="M268" t="str">
        <f t="shared" ca="1" si="57"/>
        <v>9e0- 1- 58.36 E</v>
      </c>
      <c r="N268">
        <f t="shared" ca="1" si="58"/>
        <v>23.796625555555558</v>
      </c>
      <c r="O268">
        <f t="shared" ca="1" si="59"/>
        <v>90.03287777777777</v>
      </c>
    </row>
    <row r="269" spans="1:15" x14ac:dyDescent="0.3">
      <c r="A269" t="s">
        <v>2259</v>
      </c>
      <c r="B269" t="str">
        <f t="shared" ca="1" si="48"/>
        <v>23- 47- 48.461</v>
      </c>
      <c r="C269" t="str">
        <f t="shared" ca="1" si="49"/>
        <v xml:space="preserve"> N</v>
      </c>
      <c r="D269" t="str">
        <f t="shared" ca="1" si="50"/>
        <v></v>
      </c>
      <c r="E269" t="str">
        <f t="shared" ca="1" si="51"/>
        <v>23- 47- 48.461 N</v>
      </c>
      <c r="F269" t="str">
        <f t="shared" ca="1" si="52"/>
        <v>23- 47- 48.461 N</v>
      </c>
      <c r="H269" t="s">
        <v>2753</v>
      </c>
      <c r="I269" t="str">
        <f t="shared" ca="1" si="53"/>
        <v>90- 20-</v>
      </c>
      <c r="J269" t="str">
        <f t="shared" ca="1" si="54"/>
        <v xml:space="preserve"> 34.237 E</v>
      </c>
      <c r="K269" t="str">
        <f t="shared" ca="1" si="55"/>
        <v>zzzz</v>
      </c>
      <c r="L269" t="str">
        <f t="shared" ca="1" si="56"/>
        <v>90- 20-zzzz 34.237 E</v>
      </c>
      <c r="M269" t="str">
        <f t="shared" ca="1" si="57"/>
        <v>90- 20-zzzz 34.237 E</v>
      </c>
      <c r="N269">
        <f t="shared" ca="1" si="58"/>
        <v>23.796794722222224</v>
      </c>
      <c r="O269">
        <f t="shared" ca="1" si="59"/>
        <v>90.342843611111107</v>
      </c>
    </row>
    <row r="270" spans="1:15" x14ac:dyDescent="0.3">
      <c r="A270" t="s">
        <v>2260</v>
      </c>
      <c r="B270" t="str">
        <f t="shared" ca="1" si="48"/>
        <v>23- 47- 49.0</v>
      </c>
      <c r="C270" t="str">
        <f t="shared" ca="1" si="49"/>
        <v>68 N</v>
      </c>
      <c r="D270" t="str">
        <f t="shared" ca="1" si="50"/>
        <v>sss</v>
      </c>
      <c r="E270" t="str">
        <f t="shared" ca="1" si="51"/>
        <v>23- 47- 49.0sss68 N</v>
      </c>
      <c r="F270" t="str">
        <f t="shared" ca="1" si="52"/>
        <v>23- 47- 49.0sss68 N</v>
      </c>
      <c r="H270" t="s">
        <v>2754</v>
      </c>
      <c r="I270" t="str">
        <f t="shared" ca="1" si="53"/>
        <v>90-</v>
      </c>
      <c r="J270" t="str">
        <f t="shared" ca="1" si="54"/>
        <v xml:space="preserve"> 21- 9.538 E</v>
      </c>
      <c r="K270" t="str">
        <f t="shared" ca="1" si="55"/>
        <v>GGG</v>
      </c>
      <c r="L270" t="str">
        <f t="shared" ca="1" si="56"/>
        <v>90-GGG 21- 9.538 E</v>
      </c>
      <c r="M270" t="str">
        <f t="shared" ca="1" si="57"/>
        <v>90-GGG 21- 9.538 E</v>
      </c>
      <c r="N270">
        <f t="shared" ca="1" si="58"/>
        <v>23.796963333333334</v>
      </c>
      <c r="O270">
        <f t="shared" ca="1" si="59"/>
        <v>90.352649444444438</v>
      </c>
    </row>
    <row r="271" spans="1:15" x14ac:dyDescent="0.3">
      <c r="A271" t="s">
        <v>2261</v>
      </c>
      <c r="B271" t="str">
        <f t="shared" ca="1" si="48"/>
        <v xml:space="preserve">23- 47- </v>
      </c>
      <c r="C271" t="str">
        <f t="shared" ca="1" si="49"/>
        <v>49.673 N</v>
      </c>
      <c r="D271" t="str">
        <f t="shared" ca="1" si="50"/>
        <v>KKKK</v>
      </c>
      <c r="E271" t="str">
        <f t="shared" ca="1" si="51"/>
        <v>23- 47- KKKK49.673 N</v>
      </c>
      <c r="F271" t="str">
        <f t="shared" ca="1" si="52"/>
        <v>23- 47- KKKK49.673 N</v>
      </c>
      <c r="H271" t="s">
        <v>2755</v>
      </c>
      <c r="I271" t="str">
        <f t="shared" ca="1" si="53"/>
        <v xml:space="preserve">90- 21- </v>
      </c>
      <c r="J271" t="str">
        <f t="shared" ca="1" si="54"/>
        <v>44.839 E</v>
      </c>
      <c r="K271" t="str">
        <f t="shared" ca="1" si="55"/>
        <v>```</v>
      </c>
      <c r="L271" t="str">
        <f t="shared" ca="1" si="56"/>
        <v>90- 21- ```44.839 E</v>
      </c>
      <c r="M271" t="str">
        <f t="shared" ca="1" si="57"/>
        <v>90- 21- ```44.839 E</v>
      </c>
      <c r="N271">
        <f t="shared" ca="1" si="58"/>
        <v>23.797131388888889</v>
      </c>
      <c r="O271">
        <f t="shared" ca="1" si="59"/>
        <v>90.362455277777769</v>
      </c>
    </row>
    <row r="272" spans="1:15" x14ac:dyDescent="0.3">
      <c r="A272" t="s">
        <v>2262</v>
      </c>
      <c r="B272" t="str">
        <f t="shared" ca="1" si="48"/>
        <v>23- 47</v>
      </c>
      <c r="C272" t="str">
        <f t="shared" ca="1" si="49"/>
        <v>- 50.276 N</v>
      </c>
      <c r="D272" t="str">
        <f t="shared" ca="1" si="50"/>
        <v>lllll</v>
      </c>
      <c r="E272" t="str">
        <f t="shared" ca="1" si="51"/>
        <v>23- 47lllll- 50.276 N</v>
      </c>
      <c r="F272" t="str">
        <f t="shared" ca="1" si="52"/>
        <v>23- 47lllll- 50.276 N</v>
      </c>
      <c r="H272" t="s">
        <v>2756</v>
      </c>
      <c r="I272" t="str">
        <f t="shared" ca="1" si="53"/>
        <v xml:space="preserve">90- </v>
      </c>
      <c r="J272" t="str">
        <f t="shared" ca="1" si="54"/>
        <v>22- 20.141 E</v>
      </c>
      <c r="K272" t="str">
        <f t="shared" ca="1" si="55"/>
        <v>SSS</v>
      </c>
      <c r="L272" t="str">
        <f t="shared" ca="1" si="56"/>
        <v>90- SSS22- 20.141 E</v>
      </c>
      <c r="M272" t="str">
        <f t="shared" ca="1" si="57"/>
        <v>90- SSS22- 20.141 E</v>
      </c>
      <c r="N272">
        <f t="shared" ca="1" si="58"/>
        <v>23.797298888888889</v>
      </c>
      <c r="O272">
        <f t="shared" ca="1" si="59"/>
        <v>90.372261388888887</v>
      </c>
    </row>
    <row r="273" spans="1:15" x14ac:dyDescent="0.3">
      <c r="A273" t="s">
        <v>2263</v>
      </c>
      <c r="B273" t="str">
        <f t="shared" ca="1" si="48"/>
        <v>23- 47- 50.</v>
      </c>
      <c r="C273" t="str">
        <f t="shared" ca="1" si="49"/>
        <v>876 N</v>
      </c>
      <c r="D273" t="str">
        <f t="shared" ca="1" si="50"/>
        <v>{{{</v>
      </c>
      <c r="E273" t="str">
        <f t="shared" ca="1" si="51"/>
        <v>23- 47- 50.{{{876 N</v>
      </c>
      <c r="F273" t="str">
        <f t="shared" ca="1" si="52"/>
        <v>23- 47- 50.{{{876 N</v>
      </c>
      <c r="H273" t="s">
        <v>2757</v>
      </c>
      <c r="I273" t="str">
        <f t="shared" ca="1" si="53"/>
        <v>90- 22- 55.4</v>
      </c>
      <c r="J273" t="str">
        <f t="shared" ca="1" si="54"/>
        <v>43 E</v>
      </c>
      <c r="K273" t="str">
        <f t="shared" ca="1" si="55"/>
        <v>b</v>
      </c>
      <c r="L273" t="str">
        <f t="shared" ca="1" si="56"/>
        <v>90- 22- 55.4b43 E</v>
      </c>
      <c r="M273" t="str">
        <f t="shared" ca="1" si="57"/>
        <v>90- 22- 55.4b43 E</v>
      </c>
      <c r="N273">
        <f t="shared" ca="1" si="58"/>
        <v>23.797465555555558</v>
      </c>
      <c r="O273">
        <f t="shared" ca="1" si="59"/>
        <v>90.382067499999991</v>
      </c>
    </row>
    <row r="274" spans="1:15" x14ac:dyDescent="0.3">
      <c r="A274" t="s">
        <v>2264</v>
      </c>
      <c r="B274" t="str">
        <f t="shared" ca="1" si="48"/>
        <v>23- 4</v>
      </c>
      <c r="C274" t="str">
        <f t="shared" ca="1" si="49"/>
        <v>7- 51.474 N</v>
      </c>
      <c r="D274" t="str">
        <f t="shared" ca="1" si="50"/>
        <v>OOO</v>
      </c>
      <c r="E274" t="str">
        <f t="shared" ca="1" si="51"/>
        <v>23- 4OOO7- 51.474 N</v>
      </c>
      <c r="F274" t="str">
        <f t="shared" ca="1" si="52"/>
        <v>23- 4OOO7- 51.474 N</v>
      </c>
      <c r="H274" t="s">
        <v>2758</v>
      </c>
      <c r="I274" t="str">
        <f t="shared" ca="1" si="53"/>
        <v xml:space="preserve">90- </v>
      </c>
      <c r="J274" t="str">
        <f t="shared" ca="1" si="54"/>
        <v>23- 30.745 E</v>
      </c>
      <c r="K274" t="str">
        <f t="shared" ca="1" si="55"/>
        <v>pp</v>
      </c>
      <c r="L274" t="str">
        <f t="shared" ca="1" si="56"/>
        <v>90- pp23- 30.745 E</v>
      </c>
      <c r="M274" t="str">
        <f t="shared" ca="1" si="57"/>
        <v>90- pp23- 30.745 E</v>
      </c>
      <c r="N274">
        <f t="shared" ca="1" si="58"/>
        <v>23.797631666666668</v>
      </c>
      <c r="O274">
        <f t="shared" ca="1" si="59"/>
        <v>90.391873611111123</v>
      </c>
    </row>
    <row r="275" spans="1:15" x14ac:dyDescent="0.3">
      <c r="A275" t="s">
        <v>2265</v>
      </c>
      <c r="B275" t="str">
        <f t="shared" ca="1" si="48"/>
        <v>23- 47- 52.070 N</v>
      </c>
      <c r="C275" t="str">
        <f t="shared" ca="1" si="49"/>
        <v/>
      </c>
      <c r="D275" t="str">
        <f t="shared" ca="1" si="50"/>
        <v>___</v>
      </c>
      <c r="E275" t="str">
        <f t="shared" ca="1" si="51"/>
        <v>23- 47- 52.070 N___</v>
      </c>
      <c r="F275" t="str">
        <f t="shared" ca="1" si="52"/>
        <v>23- 47- 52.070 N___</v>
      </c>
      <c r="H275" t="s">
        <v>2759</v>
      </c>
      <c r="I275" t="str">
        <f t="shared" ca="1" si="53"/>
        <v xml:space="preserve">90- 24- 6.048 </v>
      </c>
      <c r="J275" t="str">
        <f t="shared" ca="1" si="54"/>
        <v>E</v>
      </c>
      <c r="K275" t="str">
        <f t="shared" ca="1" si="55"/>
        <v>s</v>
      </c>
      <c r="L275" t="str">
        <f t="shared" ca="1" si="56"/>
        <v>90- 24- 6.048 sE</v>
      </c>
      <c r="M275" t="str">
        <f t="shared" ca="1" si="57"/>
        <v>90- 24- 6.048 sE</v>
      </c>
      <c r="N275">
        <f t="shared" ca="1" si="58"/>
        <v>23.797797222222226</v>
      </c>
      <c r="O275">
        <f t="shared" ca="1" si="59"/>
        <v>90.401679999999999</v>
      </c>
    </row>
    <row r="276" spans="1:15" x14ac:dyDescent="0.3">
      <c r="A276" t="s">
        <v>2266</v>
      </c>
      <c r="B276" t="str">
        <f t="shared" ca="1" si="48"/>
        <v>23- 47- 52.66</v>
      </c>
      <c r="C276" t="str">
        <f t="shared" ca="1" si="49"/>
        <v>4 N</v>
      </c>
      <c r="D276" t="str">
        <f t="shared" ca="1" si="50"/>
        <v>M</v>
      </c>
      <c r="E276" t="str">
        <f t="shared" ca="1" si="51"/>
        <v>23- 47- 52.66M4 N</v>
      </c>
      <c r="F276" t="str">
        <f t="shared" ca="1" si="52"/>
        <v>23- 47- 52.66M4 N</v>
      </c>
      <c r="H276" t="s">
        <v>2760</v>
      </c>
      <c r="I276" t="str">
        <f t="shared" ca="1" si="53"/>
        <v>90- 24- 41.351</v>
      </c>
      <c r="J276" t="str">
        <f t="shared" ca="1" si="54"/>
        <v xml:space="preserve"> E</v>
      </c>
      <c r="K276" t="str">
        <f t="shared" ca="1" si="55"/>
        <v>ee</v>
      </c>
      <c r="L276" t="str">
        <f t="shared" ca="1" si="56"/>
        <v>90- 24- 41.351ee E</v>
      </c>
      <c r="M276" t="str">
        <f t="shared" ca="1" si="57"/>
        <v>90- 24- 41.351ee E</v>
      </c>
      <c r="N276">
        <f t="shared" ca="1" si="58"/>
        <v>23.797962222222225</v>
      </c>
      <c r="O276">
        <f t="shared" ca="1" si="59"/>
        <v>90.411486388888889</v>
      </c>
    </row>
    <row r="277" spans="1:15" x14ac:dyDescent="0.3">
      <c r="A277" t="s">
        <v>2267</v>
      </c>
      <c r="B277" t="str">
        <f t="shared" ca="1" si="48"/>
        <v>2</v>
      </c>
      <c r="C277" t="str">
        <f t="shared" ca="1" si="49"/>
        <v>3- 47- 53.56 N</v>
      </c>
      <c r="D277" t="str">
        <f t="shared" ca="1" si="50"/>
        <v>~~~~~</v>
      </c>
      <c r="E277" t="str">
        <f t="shared" ca="1" si="51"/>
        <v>2~~~~~3- 47- 53.56 N</v>
      </c>
      <c r="F277" t="str">
        <f t="shared" ca="1" si="52"/>
        <v>2~~~~~3- 47- 53.56 N</v>
      </c>
      <c r="H277" t="s">
        <v>2761</v>
      </c>
      <c r="I277" t="str">
        <f t="shared" ca="1" si="53"/>
        <v>90-</v>
      </c>
      <c r="J277" t="str">
        <f t="shared" ca="1" si="54"/>
        <v xml:space="preserve"> 25- 16.654 E</v>
      </c>
      <c r="K277" t="str">
        <f t="shared" ca="1" si="55"/>
        <v>ll</v>
      </c>
      <c r="L277" t="str">
        <f t="shared" ca="1" si="56"/>
        <v>90-ll 25- 16.654 E</v>
      </c>
      <c r="M277" t="str">
        <f t="shared" ca="1" si="57"/>
        <v>90-ll 25- 16.654 E</v>
      </c>
      <c r="N277">
        <f t="shared" ca="1" si="58"/>
        <v>23.798211111111112</v>
      </c>
      <c r="O277">
        <f t="shared" ca="1" si="59"/>
        <v>90.421292777777779</v>
      </c>
    </row>
    <row r="278" spans="1:15" x14ac:dyDescent="0.3">
      <c r="A278" t="s">
        <v>2268</v>
      </c>
      <c r="B278" t="str">
        <f t="shared" ca="1" si="48"/>
        <v>23- 47- 53.8</v>
      </c>
      <c r="C278" t="str">
        <f t="shared" ca="1" si="49"/>
        <v>45 N</v>
      </c>
      <c r="D278" t="str">
        <f t="shared" ca="1" si="50"/>
        <v>kkkkk</v>
      </c>
      <c r="E278" t="str">
        <f t="shared" ca="1" si="51"/>
        <v>23- 47- 53.8kkkkk45 N</v>
      </c>
      <c r="F278" t="str">
        <f t="shared" ca="1" si="52"/>
        <v>23- 47- 53.8kkkkk45 N</v>
      </c>
      <c r="H278" t="s">
        <v>2762</v>
      </c>
      <c r="I278" t="str">
        <f t="shared" ca="1" si="53"/>
        <v>90- 25- 51.</v>
      </c>
      <c r="J278" t="str">
        <f t="shared" ca="1" si="54"/>
        <v>958 E</v>
      </c>
      <c r="K278" t="str">
        <f t="shared" ca="1" si="55"/>
        <v>cccc</v>
      </c>
      <c r="L278" t="str">
        <f t="shared" ca="1" si="56"/>
        <v>90- 25- 51.cccc958 E</v>
      </c>
      <c r="M278" t="str">
        <f t="shared" ca="1" si="57"/>
        <v>90- 25- 51.cccc958 E</v>
      </c>
      <c r="N278">
        <f t="shared" ca="1" si="58"/>
        <v>23.798290277777781</v>
      </c>
      <c r="O278">
        <f t="shared" ca="1" si="59"/>
        <v>90.431099444444456</v>
      </c>
    </row>
    <row r="279" spans="1:15" x14ac:dyDescent="0.3">
      <c r="A279" t="s">
        <v>2269</v>
      </c>
      <c r="B279" t="str">
        <f t="shared" ca="1" si="48"/>
        <v>23- 47- 54.432</v>
      </c>
      <c r="C279" t="str">
        <f t="shared" ca="1" si="49"/>
        <v xml:space="preserve"> N</v>
      </c>
      <c r="D279" t="str">
        <f t="shared" ca="1" si="50"/>
        <v>t</v>
      </c>
      <c r="E279" t="str">
        <f t="shared" ca="1" si="51"/>
        <v>23- 47- 54.432t N</v>
      </c>
      <c r="F279" t="str">
        <f t="shared" ca="1" si="52"/>
        <v>23- 47- 54.432t N</v>
      </c>
      <c r="H279" t="s">
        <v>2763</v>
      </c>
      <c r="I279" t="str">
        <f t="shared" ca="1" si="53"/>
        <v>90- 26- 27.</v>
      </c>
      <c r="J279" t="str">
        <f t="shared" ca="1" si="54"/>
        <v>262 E</v>
      </c>
      <c r="K279" t="str">
        <f t="shared" ca="1" si="55"/>
        <v>qqqqq</v>
      </c>
      <c r="L279" t="str">
        <f t="shared" ca="1" si="56"/>
        <v>90- 26- 27.qqqqq262 E</v>
      </c>
      <c r="M279" t="str">
        <f t="shared" ca="1" si="57"/>
        <v>90- 26- 27.qqqqq262 E</v>
      </c>
      <c r="N279">
        <f t="shared" ca="1" si="58"/>
        <v>23.798453333333335</v>
      </c>
      <c r="O279">
        <f t="shared" ca="1" si="59"/>
        <v>90.440906111111119</v>
      </c>
    </row>
    <row r="280" spans="1:15" x14ac:dyDescent="0.3">
      <c r="A280" t="s">
        <v>2270</v>
      </c>
      <c r="B280" t="str">
        <f t="shared" ca="1" si="48"/>
        <v xml:space="preserve">23- 47- </v>
      </c>
      <c r="C280" t="str">
        <f t="shared" ca="1" si="49"/>
        <v>55.016 N</v>
      </c>
      <c r="D280" t="str">
        <f t="shared" ca="1" si="50"/>
        <v>QQQQ</v>
      </c>
      <c r="E280" t="str">
        <f t="shared" ca="1" si="51"/>
        <v>23- 47- QQQQ55.016 N</v>
      </c>
      <c r="F280" t="str">
        <f t="shared" ca="1" si="52"/>
        <v>23- 47- QQQQ55.016 N</v>
      </c>
      <c r="H280" t="s">
        <v>2764</v>
      </c>
      <c r="I280" t="str">
        <f t="shared" ca="1" si="53"/>
        <v>90</v>
      </c>
      <c r="J280" t="str">
        <f t="shared" ca="1" si="54"/>
        <v>- 27- 2.566 E</v>
      </c>
      <c r="K280" t="str">
        <f t="shared" ca="1" si="55"/>
        <v>EEEE</v>
      </c>
      <c r="L280" t="str">
        <f t="shared" ca="1" si="56"/>
        <v>90EEEE- 27- 2.566 E</v>
      </c>
      <c r="M280" t="str">
        <f t="shared" ca="1" si="57"/>
        <v>90EEEE- 27- 2.566 E</v>
      </c>
      <c r="N280">
        <f t="shared" ca="1" si="58"/>
        <v>23.798615555555557</v>
      </c>
      <c r="O280">
        <f t="shared" ca="1" si="59"/>
        <v>90.450712777777781</v>
      </c>
    </row>
    <row r="281" spans="1:15" x14ac:dyDescent="0.3">
      <c r="A281" t="s">
        <v>2271</v>
      </c>
      <c r="B281" t="str">
        <f t="shared" ca="1" si="48"/>
        <v>23- 47</v>
      </c>
      <c r="C281" t="str">
        <f t="shared" ca="1" si="49"/>
        <v>- 55.599 N</v>
      </c>
      <c r="D281" t="str">
        <f t="shared" ca="1" si="50"/>
        <v>sss</v>
      </c>
      <c r="E281" t="str">
        <f t="shared" ca="1" si="51"/>
        <v>23- 47sss- 55.599 N</v>
      </c>
      <c r="F281" t="str">
        <f t="shared" ca="1" si="52"/>
        <v>23- 47sss- 55.599 N</v>
      </c>
      <c r="H281" t="s">
        <v>2765</v>
      </c>
      <c r="I281" t="str">
        <f t="shared" ca="1" si="53"/>
        <v xml:space="preserve">90- </v>
      </c>
      <c r="J281" t="str">
        <f t="shared" ca="1" si="54"/>
        <v>27- 37.871 E</v>
      </c>
      <c r="K281" t="str">
        <f t="shared" ca="1" si="55"/>
        <v>qqq</v>
      </c>
      <c r="L281" t="str">
        <f t="shared" ca="1" si="56"/>
        <v>90- qqq27- 37.871 E</v>
      </c>
      <c r="M281" t="str">
        <f t="shared" ca="1" si="57"/>
        <v>90- qqq27- 37.871 E</v>
      </c>
      <c r="N281">
        <f t="shared" ca="1" si="58"/>
        <v>23.7987775</v>
      </c>
      <c r="O281">
        <f t="shared" ca="1" si="59"/>
        <v>90.46051972222223</v>
      </c>
    </row>
    <row r="282" spans="1:15" x14ac:dyDescent="0.3">
      <c r="A282" t="s">
        <v>2272</v>
      </c>
      <c r="B282" t="str">
        <f t="shared" ca="1" si="48"/>
        <v>23- 4</v>
      </c>
      <c r="C282" t="str">
        <f t="shared" ca="1" si="49"/>
        <v>7- 56.179 N</v>
      </c>
      <c r="D282" t="str">
        <f t="shared" ca="1" si="50"/>
        <v>qqq</v>
      </c>
      <c r="E282" t="str">
        <f t="shared" ca="1" si="51"/>
        <v>23- 4qqq7- 56.179 N</v>
      </c>
      <c r="F282" t="str">
        <f t="shared" ca="1" si="52"/>
        <v>23- 4qqq7- 56.179 N</v>
      </c>
      <c r="H282" t="s">
        <v>2766</v>
      </c>
      <c r="I282" t="str">
        <f t="shared" ca="1" si="53"/>
        <v>90- 28- 13.</v>
      </c>
      <c r="J282" t="str">
        <f t="shared" ca="1" si="54"/>
        <v>176 E</v>
      </c>
      <c r="K282" t="str">
        <f t="shared" ca="1" si="55"/>
        <v>H</v>
      </c>
      <c r="L282" t="str">
        <f t="shared" ca="1" si="56"/>
        <v>90- 28- 13.H176 E</v>
      </c>
      <c r="M282" t="str">
        <f t="shared" ca="1" si="57"/>
        <v>90- 28- 13.H176 E</v>
      </c>
      <c r="N282">
        <f t="shared" ca="1" si="58"/>
        <v>23.798938611111112</v>
      </c>
      <c r="O282">
        <f t="shared" ca="1" si="59"/>
        <v>90.470326666666665</v>
      </c>
    </row>
    <row r="283" spans="1:15" x14ac:dyDescent="0.3">
      <c r="A283" t="s">
        <v>2273</v>
      </c>
      <c r="B283" t="str">
        <f t="shared" ca="1" si="48"/>
        <v>23- 47-</v>
      </c>
      <c r="C283" t="str">
        <f t="shared" ca="1" si="49"/>
        <v xml:space="preserve"> 56.757 N</v>
      </c>
      <c r="D283" t="str">
        <f t="shared" ca="1" si="50"/>
        <v>bbbbb</v>
      </c>
      <c r="E283" t="str">
        <f t="shared" ca="1" si="51"/>
        <v>23- 47-bbbbb 56.757 N</v>
      </c>
      <c r="F283" t="str">
        <f t="shared" ca="1" si="52"/>
        <v>23- 47-bbbbb 56.757 N</v>
      </c>
      <c r="H283" t="s">
        <v>2767</v>
      </c>
      <c r="I283" t="str">
        <f t="shared" ca="1" si="53"/>
        <v>90- 28- 48.481</v>
      </c>
      <c r="J283" t="str">
        <f t="shared" ca="1" si="54"/>
        <v xml:space="preserve"> E</v>
      </c>
      <c r="K283" t="str">
        <f t="shared" ca="1" si="55"/>
        <v>c</v>
      </c>
      <c r="L283" t="str">
        <f t="shared" ca="1" si="56"/>
        <v>90- 28- 48.481c E</v>
      </c>
      <c r="M283" t="str">
        <f t="shared" ca="1" si="57"/>
        <v>90- 28- 48.481c E</v>
      </c>
      <c r="N283">
        <f t="shared" ca="1" si="58"/>
        <v>23.799099166666668</v>
      </c>
      <c r="O283">
        <f t="shared" ca="1" si="59"/>
        <v>90.480133611111114</v>
      </c>
    </row>
    <row r="284" spans="1:15" x14ac:dyDescent="0.3">
      <c r="A284" t="s">
        <v>2274</v>
      </c>
      <c r="B284" t="str">
        <f t="shared" ca="1" si="48"/>
        <v xml:space="preserve">23- 47- 57.333 </v>
      </c>
      <c r="C284" t="str">
        <f t="shared" ca="1" si="49"/>
        <v>N</v>
      </c>
      <c r="D284" t="str">
        <f t="shared" ca="1" si="50"/>
        <v></v>
      </c>
      <c r="E284" t="str">
        <f t="shared" ca="1" si="51"/>
        <v>23- 47- 57.333 N</v>
      </c>
      <c r="F284" t="str">
        <f t="shared" ca="1" si="52"/>
        <v>23- 47- 57.333 N</v>
      </c>
      <c r="H284" t="s">
        <v>2768</v>
      </c>
      <c r="I284" t="str">
        <f t="shared" ca="1" si="53"/>
        <v>90- 29- 23.787 E</v>
      </c>
      <c r="J284" t="str">
        <f t="shared" ca="1" si="54"/>
        <v/>
      </c>
      <c r="K284" t="str">
        <f t="shared" ca="1" si="55"/>
        <v>Q</v>
      </c>
      <c r="L284" t="str">
        <f t="shared" ca="1" si="56"/>
        <v>90- 29- 23.787 EQ</v>
      </c>
      <c r="M284" t="str">
        <f t="shared" ca="1" si="57"/>
        <v>90- 29- 23.787 EQ</v>
      </c>
      <c r="N284">
        <f t="shared" ca="1" si="58"/>
        <v>23.799259166666669</v>
      </c>
      <c r="O284">
        <f t="shared" ca="1" si="59"/>
        <v>90.489940833333335</v>
      </c>
    </row>
    <row r="285" spans="1:15" x14ac:dyDescent="0.3">
      <c r="A285" t="s">
        <v>2275</v>
      </c>
      <c r="B285" t="str">
        <f t="shared" ca="1" si="48"/>
        <v>23- 47- 57.907 N</v>
      </c>
      <c r="C285" t="str">
        <f t="shared" ca="1" si="49"/>
        <v/>
      </c>
      <c r="D285" t="str">
        <f t="shared" ca="1" si="50"/>
        <v>TT</v>
      </c>
      <c r="E285" t="str">
        <f t="shared" ca="1" si="51"/>
        <v>23- 47- 57.907 NTT</v>
      </c>
      <c r="F285" t="str">
        <f t="shared" ca="1" si="52"/>
        <v>23- 47- 57.907 NTT</v>
      </c>
      <c r="H285" t="s">
        <v>2769</v>
      </c>
      <c r="I285" t="str">
        <f t="shared" ca="1" si="53"/>
        <v xml:space="preserve">90- 29- </v>
      </c>
      <c r="J285" t="str">
        <f t="shared" ca="1" si="54"/>
        <v>59.093 E</v>
      </c>
      <c r="K285" t="str">
        <f t="shared" ca="1" si="55"/>
        <v>lllll</v>
      </c>
      <c r="L285" t="str">
        <f t="shared" ca="1" si="56"/>
        <v>90- 29- lllll59.093 E</v>
      </c>
      <c r="M285" t="str">
        <f t="shared" ca="1" si="57"/>
        <v>90- 29- lllll59.093 E</v>
      </c>
      <c r="N285">
        <f t="shared" ca="1" si="58"/>
        <v>23.799418611111111</v>
      </c>
      <c r="O285">
        <f t="shared" ca="1" si="59"/>
        <v>90.499748055555557</v>
      </c>
    </row>
    <row r="286" spans="1:15" x14ac:dyDescent="0.3">
      <c r="A286" t="s">
        <v>2276</v>
      </c>
      <c r="B286" t="str">
        <f t="shared" ca="1" si="48"/>
        <v>23- 47- 58.4</v>
      </c>
      <c r="C286" t="str">
        <f t="shared" ca="1" si="49"/>
        <v>78 N</v>
      </c>
      <c r="D286" t="str">
        <f t="shared" ca="1" si="50"/>
        <v>_____</v>
      </c>
      <c r="E286" t="str">
        <f t="shared" ca="1" si="51"/>
        <v>23- 47- 58.4_____78 N</v>
      </c>
      <c r="F286" t="str">
        <f t="shared" ca="1" si="52"/>
        <v>23- 47- 58.4_____78 N</v>
      </c>
      <c r="H286" t="s">
        <v>2770</v>
      </c>
      <c r="I286" t="str">
        <f t="shared" ca="1" si="53"/>
        <v>90- 3</v>
      </c>
      <c r="J286" t="str">
        <f t="shared" ca="1" si="54"/>
        <v>0- 34.399 E</v>
      </c>
      <c r="K286" t="str">
        <f t="shared" ca="1" si="55"/>
        <v>rrrrr</v>
      </c>
      <c r="L286" t="str">
        <f t="shared" ca="1" si="56"/>
        <v>90- 3rrrrr0- 34.399 E</v>
      </c>
      <c r="M286" t="str">
        <f t="shared" ca="1" si="57"/>
        <v>90- 3rrrrr0- 34.399 E</v>
      </c>
      <c r="N286">
        <f t="shared" ca="1" si="58"/>
        <v>23.799577222222222</v>
      </c>
      <c r="O286">
        <f t="shared" ca="1" si="59"/>
        <v>90.509555277777778</v>
      </c>
    </row>
    <row r="287" spans="1:15" x14ac:dyDescent="0.3">
      <c r="A287" t="s">
        <v>2277</v>
      </c>
      <c r="B287" t="str">
        <f t="shared" ca="1" si="48"/>
        <v>23- 48- 20.33</v>
      </c>
      <c r="C287" t="str">
        <f t="shared" ca="1" si="49"/>
        <v>3 N</v>
      </c>
      <c r="D287" t="str">
        <f t="shared" ca="1" si="50"/>
        <v>[[[</v>
      </c>
      <c r="E287" t="str">
        <f t="shared" ca="1" si="51"/>
        <v>23- 48- 20.33[[[3 N</v>
      </c>
      <c r="F287" t="str">
        <f t="shared" ca="1" si="52"/>
        <v>23- 48- 20.33[[[3 N</v>
      </c>
      <c r="H287" t="s">
        <v>2771</v>
      </c>
      <c r="I287" t="str">
        <f t="shared" ca="1" si="53"/>
        <v>90- 19-</v>
      </c>
      <c r="J287" t="str">
        <f t="shared" ca="1" si="54"/>
        <v xml:space="preserve"> 58.272 E</v>
      </c>
      <c r="K287" t="str">
        <f t="shared" ca="1" si="55"/>
        <v>aa</v>
      </c>
      <c r="L287" t="str">
        <f t="shared" ca="1" si="56"/>
        <v>90- 19-aa 58.272 E</v>
      </c>
      <c r="M287" t="str">
        <f t="shared" ca="1" si="57"/>
        <v>90- 19-aa 58.272 E</v>
      </c>
      <c r="N287">
        <f t="shared" ca="1" si="58"/>
        <v>23.805648055555555</v>
      </c>
      <c r="O287">
        <f t="shared" ca="1" si="59"/>
        <v>90.332853333333333</v>
      </c>
    </row>
    <row r="288" spans="1:15" x14ac:dyDescent="0.3">
      <c r="A288" t="s">
        <v>2278</v>
      </c>
      <c r="B288" t="str">
        <f t="shared" ca="1" si="48"/>
        <v xml:space="preserve">23- </v>
      </c>
      <c r="C288" t="str">
        <f t="shared" ca="1" si="49"/>
        <v>48- 20.943 N</v>
      </c>
      <c r="D288" t="str">
        <f t="shared" ca="1" si="50"/>
        <v>MMMMM</v>
      </c>
      <c r="E288" t="str">
        <f t="shared" ca="1" si="51"/>
        <v>23- MMMMM48- 20.943 N</v>
      </c>
      <c r="F288" t="str">
        <f t="shared" ca="1" si="52"/>
        <v>23- MMMMM48- 20.943 N</v>
      </c>
      <c r="H288" t="s">
        <v>2772</v>
      </c>
      <c r="I288" t="str">
        <f t="shared" ca="1" si="53"/>
        <v>90- 20- 33</v>
      </c>
      <c r="J288" t="str">
        <f t="shared" ca="1" si="54"/>
        <v>.575 E</v>
      </c>
      <c r="K288" t="str">
        <f t="shared" ca="1" si="55"/>
        <v>uu</v>
      </c>
      <c r="L288" t="str">
        <f t="shared" ca="1" si="56"/>
        <v>90- 20- 33uu.575 E</v>
      </c>
      <c r="M288" t="str">
        <f t="shared" ca="1" si="57"/>
        <v>90- 20- 33uu.575 E</v>
      </c>
      <c r="N288">
        <f t="shared" ca="1" si="58"/>
        <v>23.8058175</v>
      </c>
      <c r="O288">
        <f t="shared" ca="1" si="59"/>
        <v>90.342659722222223</v>
      </c>
    </row>
    <row r="289" spans="1:15" x14ac:dyDescent="0.3">
      <c r="A289" t="s">
        <v>2279</v>
      </c>
      <c r="B289" t="str">
        <f t="shared" ca="1" si="48"/>
        <v>23- 48- 2</v>
      </c>
      <c r="C289" t="str">
        <f t="shared" ca="1" si="49"/>
        <v>1.550 N</v>
      </c>
      <c r="D289" t="str">
        <f t="shared" ca="1" si="50"/>
        <v>IIII</v>
      </c>
      <c r="E289" t="str">
        <f t="shared" ca="1" si="51"/>
        <v>23- 48- 2IIII1.550 N</v>
      </c>
      <c r="F289" t="str">
        <f t="shared" ca="1" si="52"/>
        <v>23- 48- 2IIII1.550 N</v>
      </c>
      <c r="H289" t="s">
        <v>2773</v>
      </c>
      <c r="I289" t="str">
        <f t="shared" ca="1" si="53"/>
        <v>90- 21-</v>
      </c>
      <c r="J289" t="str">
        <f t="shared" ca="1" si="54"/>
        <v xml:space="preserve"> 8.879 E</v>
      </c>
      <c r="K289" t="str">
        <f t="shared" ca="1" si="55"/>
        <v>`````</v>
      </c>
      <c r="L289" t="str">
        <f t="shared" ca="1" si="56"/>
        <v>90- 21-````` 8.879 E</v>
      </c>
      <c r="M289" t="str">
        <f t="shared" ca="1" si="57"/>
        <v>90- 21-````` 8.879 E</v>
      </c>
      <c r="N289">
        <f t="shared" ca="1" si="58"/>
        <v>23.80598611111111</v>
      </c>
      <c r="O289">
        <f t="shared" ca="1" si="59"/>
        <v>90.352466388888885</v>
      </c>
    </row>
    <row r="290" spans="1:15" x14ac:dyDescent="0.3">
      <c r="A290" t="s">
        <v>2280</v>
      </c>
      <c r="B290" t="str">
        <f t="shared" ca="1" si="48"/>
        <v xml:space="preserve">23- 48- </v>
      </c>
      <c r="C290" t="str">
        <f t="shared" ca="1" si="49"/>
        <v>22.156 N</v>
      </c>
      <c r="D290" t="str">
        <f t="shared" ca="1" si="50"/>
        <v></v>
      </c>
      <c r="E290" t="str">
        <f t="shared" ca="1" si="51"/>
        <v>23- 48- 22.156 N</v>
      </c>
      <c r="F290" t="str">
        <f t="shared" ca="1" si="52"/>
        <v>23- 48- 22.156 N</v>
      </c>
      <c r="H290" t="s">
        <v>2774</v>
      </c>
      <c r="I290" t="str">
        <f t="shared" ca="1" si="53"/>
        <v>90</v>
      </c>
      <c r="J290" t="str">
        <f t="shared" ca="1" si="54"/>
        <v>- 21- 44.183 E</v>
      </c>
      <c r="K290" t="str">
        <f t="shared" ca="1" si="55"/>
        <v>ooo</v>
      </c>
      <c r="L290" t="str">
        <f t="shared" ca="1" si="56"/>
        <v>90ooo- 21- 44.183 E</v>
      </c>
      <c r="M290" t="str">
        <f t="shared" ca="1" si="57"/>
        <v>90ooo- 21- 44.183 E</v>
      </c>
      <c r="N290">
        <f t="shared" ca="1" si="58"/>
        <v>23.806154444444445</v>
      </c>
      <c r="O290">
        <f t="shared" ca="1" si="59"/>
        <v>90.362273055555548</v>
      </c>
    </row>
    <row r="291" spans="1:15" x14ac:dyDescent="0.3">
      <c r="A291" t="s">
        <v>2281</v>
      </c>
      <c r="B291" t="str">
        <f t="shared" ca="1" si="48"/>
        <v xml:space="preserve">23- 48- 22.759 </v>
      </c>
      <c r="C291" t="str">
        <f t="shared" ca="1" si="49"/>
        <v>N</v>
      </c>
      <c r="D291" t="str">
        <f t="shared" ca="1" si="50"/>
        <v>}}}</v>
      </c>
      <c r="E291" t="str">
        <f t="shared" ca="1" si="51"/>
        <v>23- 48- 22.759 }}}N</v>
      </c>
      <c r="F291" t="str">
        <f t="shared" ca="1" si="52"/>
        <v>23- 48- 22.759 }}}N</v>
      </c>
      <c r="H291" t="s">
        <v>2775</v>
      </c>
      <c r="I291" t="str">
        <f t="shared" ca="1" si="53"/>
        <v>90- 2</v>
      </c>
      <c r="J291" t="str">
        <f t="shared" ca="1" si="54"/>
        <v>2- 19.487 E</v>
      </c>
      <c r="K291" t="str">
        <f t="shared" ca="1" si="55"/>
        <v>\\\\</v>
      </c>
      <c r="L291" t="str">
        <f t="shared" ca="1" si="56"/>
        <v>90- 2\\\\2- 19.487 E</v>
      </c>
      <c r="M291" t="str">
        <f t="shared" ca="1" si="57"/>
        <v>90- 2\\\\2- 19.487 E</v>
      </c>
      <c r="N291">
        <f t="shared" ca="1" si="58"/>
        <v>23.806321944444445</v>
      </c>
      <c r="O291">
        <f t="shared" ca="1" si="59"/>
        <v>90.37207972222221</v>
      </c>
    </row>
    <row r="292" spans="1:15" x14ac:dyDescent="0.3">
      <c r="A292" t="s">
        <v>2282</v>
      </c>
      <c r="B292" t="str">
        <f t="shared" ca="1" si="48"/>
        <v xml:space="preserve">23- 48- 23.359 </v>
      </c>
      <c r="C292" t="str">
        <f t="shared" ca="1" si="49"/>
        <v>N</v>
      </c>
      <c r="D292" t="str">
        <f t="shared" ca="1" si="50"/>
        <v>OOO</v>
      </c>
      <c r="E292" t="str">
        <f t="shared" ca="1" si="51"/>
        <v>23- 48- 23.359 OOON</v>
      </c>
      <c r="F292" t="str">
        <f t="shared" ca="1" si="52"/>
        <v>23- 48- 23.359 OOON</v>
      </c>
      <c r="H292" t="s">
        <v>2776</v>
      </c>
      <c r="I292" t="str">
        <f t="shared" ca="1" si="53"/>
        <v>90- 22- 54.791 E</v>
      </c>
      <c r="J292" t="str">
        <f t="shared" ca="1" si="54"/>
        <v/>
      </c>
      <c r="K292" t="str">
        <f t="shared" ca="1" si="55"/>
        <v>___</v>
      </c>
      <c r="L292" t="str">
        <f t="shared" ca="1" si="56"/>
        <v>90- 22- 54.791 E___</v>
      </c>
      <c r="M292" t="str">
        <f t="shared" ca="1" si="57"/>
        <v>90- 22- 54.791 E___</v>
      </c>
      <c r="N292">
        <f t="shared" ca="1" si="58"/>
        <v>23.806488611111114</v>
      </c>
      <c r="O292">
        <f t="shared" ca="1" si="59"/>
        <v>90.381886388888887</v>
      </c>
    </row>
    <row r="293" spans="1:15" x14ac:dyDescent="0.3">
      <c r="A293" t="s">
        <v>2283</v>
      </c>
      <c r="B293" t="str">
        <f t="shared" ca="1" si="48"/>
        <v xml:space="preserve">23- 48- </v>
      </c>
      <c r="C293" t="str">
        <f t="shared" ca="1" si="49"/>
        <v>23.958 N</v>
      </c>
      <c r="D293" t="str">
        <f t="shared" ca="1" si="50"/>
        <v>||||</v>
      </c>
      <c r="E293" t="str">
        <f t="shared" ca="1" si="51"/>
        <v>23- 48- ||||23.958 N</v>
      </c>
      <c r="F293" t="str">
        <f t="shared" ca="1" si="52"/>
        <v>23- 48- ||||23.958 N</v>
      </c>
      <c r="H293" t="s">
        <v>2777</v>
      </c>
      <c r="I293" t="str">
        <f t="shared" ca="1" si="53"/>
        <v xml:space="preserve">90- 23- </v>
      </c>
      <c r="J293" t="str">
        <f t="shared" ca="1" si="54"/>
        <v>30.096 E</v>
      </c>
      <c r="K293" t="str">
        <f t="shared" ca="1" si="55"/>
        <v>e</v>
      </c>
      <c r="L293" t="str">
        <f t="shared" ca="1" si="56"/>
        <v>90- 23- e30.096 E</v>
      </c>
      <c r="M293" t="str">
        <f t="shared" ca="1" si="57"/>
        <v>90- 23- e30.096 E</v>
      </c>
      <c r="N293">
        <f t="shared" ca="1" si="58"/>
        <v>23.806654999999999</v>
      </c>
      <c r="O293">
        <f t="shared" ca="1" si="59"/>
        <v>90.391693333333336</v>
      </c>
    </row>
    <row r="294" spans="1:15" x14ac:dyDescent="0.3">
      <c r="A294" t="s">
        <v>2284</v>
      </c>
      <c r="B294" t="str">
        <f t="shared" ca="1" si="48"/>
        <v xml:space="preserve">23- 48- </v>
      </c>
      <c r="C294" t="str">
        <f t="shared" ca="1" si="49"/>
        <v>24.554 N</v>
      </c>
      <c r="D294" t="str">
        <f t="shared" ca="1" si="50"/>
        <v>S</v>
      </c>
      <c r="E294" t="str">
        <f t="shared" ca="1" si="51"/>
        <v>23- 48- S24.554 N</v>
      </c>
      <c r="F294" t="str">
        <f t="shared" ca="1" si="52"/>
        <v>23- 48- S24.554 N</v>
      </c>
      <c r="H294" t="s">
        <v>2778</v>
      </c>
      <c r="I294" t="str">
        <f t="shared" ca="1" si="53"/>
        <v>90-</v>
      </c>
      <c r="J294" t="str">
        <f t="shared" ca="1" si="54"/>
        <v xml:space="preserve"> 24- 5.401 E</v>
      </c>
      <c r="K294" t="str">
        <f t="shared" ca="1" si="55"/>
        <v>kkkk</v>
      </c>
      <c r="L294" t="str">
        <f t="shared" ca="1" si="56"/>
        <v>90-kkkk 24- 5.401 E</v>
      </c>
      <c r="M294" t="str">
        <f t="shared" ca="1" si="57"/>
        <v>90-kkkk 24- 5.401 E</v>
      </c>
      <c r="N294">
        <f t="shared" ca="1" si="58"/>
        <v>23.806820555555557</v>
      </c>
      <c r="O294">
        <f t="shared" ca="1" si="59"/>
        <v>90.401500277777785</v>
      </c>
    </row>
    <row r="295" spans="1:15" x14ac:dyDescent="0.3">
      <c r="A295" t="s">
        <v>2285</v>
      </c>
      <c r="B295" t="str">
        <f t="shared" ca="1" si="48"/>
        <v>23- 48</v>
      </c>
      <c r="C295" t="str">
        <f t="shared" ca="1" si="49"/>
        <v>- 25.148 N</v>
      </c>
      <c r="D295" t="str">
        <f t="shared" ca="1" si="50"/>
        <v>ffff</v>
      </c>
      <c r="E295" t="str">
        <f t="shared" ca="1" si="51"/>
        <v>23- 48ffff- 25.148 N</v>
      </c>
      <c r="F295" t="str">
        <f t="shared" ca="1" si="52"/>
        <v>23- 48ffff- 25.148 N</v>
      </c>
      <c r="H295" t="s">
        <v>2779</v>
      </c>
      <c r="I295" t="str">
        <f t="shared" ca="1" si="53"/>
        <v>90- 24- 40.707 E</v>
      </c>
      <c r="J295" t="str">
        <f t="shared" ca="1" si="54"/>
        <v/>
      </c>
      <c r="K295" t="str">
        <f t="shared" ca="1" si="55"/>
        <v>AAAA</v>
      </c>
      <c r="L295" t="str">
        <f t="shared" ca="1" si="56"/>
        <v>90- 24- 40.707 EAAAA</v>
      </c>
      <c r="M295" t="str">
        <f t="shared" ca="1" si="57"/>
        <v>90- 24- 40.707 EAAAA</v>
      </c>
      <c r="N295">
        <f t="shared" ca="1" si="58"/>
        <v>23.806985555555556</v>
      </c>
      <c r="O295">
        <f t="shared" ca="1" si="59"/>
        <v>90.411307500000007</v>
      </c>
    </row>
    <row r="296" spans="1:15" x14ac:dyDescent="0.3">
      <c r="A296" t="s">
        <v>2286</v>
      </c>
      <c r="B296" t="str">
        <f t="shared" ca="1" si="48"/>
        <v>23- 48- 25</v>
      </c>
      <c r="C296" t="str">
        <f t="shared" ca="1" si="49"/>
        <v>.740 N</v>
      </c>
      <c r="D296" t="str">
        <f t="shared" ca="1" si="50"/>
        <v>t</v>
      </c>
      <c r="E296" t="str">
        <f t="shared" ca="1" si="51"/>
        <v>23- 48- 25t.740 N</v>
      </c>
      <c r="F296" t="str">
        <f t="shared" ca="1" si="52"/>
        <v>23- 48- 25t.740 N</v>
      </c>
      <c r="H296" t="s">
        <v>2780</v>
      </c>
      <c r="I296" t="str">
        <f t="shared" ca="1" si="53"/>
        <v>90- 25- 16</v>
      </c>
      <c r="J296" t="str">
        <f t="shared" ca="1" si="54"/>
        <v>.013 E</v>
      </c>
      <c r="K296" t="str">
        <f t="shared" ca="1" si="55"/>
        <v>HHHHH</v>
      </c>
      <c r="L296" t="str">
        <f t="shared" ca="1" si="56"/>
        <v>90- 25- 16HHHHH.013 E</v>
      </c>
      <c r="M296" t="str">
        <f t="shared" ca="1" si="57"/>
        <v>90- 25- 16HHHHH.013 E</v>
      </c>
      <c r="N296">
        <f t="shared" ca="1" si="58"/>
        <v>23.80715</v>
      </c>
      <c r="O296">
        <f t="shared" ca="1" si="59"/>
        <v>90.421114722222228</v>
      </c>
    </row>
    <row r="297" spans="1:15" x14ac:dyDescent="0.3">
      <c r="A297" t="s">
        <v>2287</v>
      </c>
      <c r="B297" t="str">
        <f t="shared" ca="1" si="48"/>
        <v xml:space="preserve">23- </v>
      </c>
      <c r="C297" t="str">
        <f t="shared" ca="1" si="49"/>
        <v>48- 26.329 N</v>
      </c>
      <c r="D297" t="str">
        <f t="shared" ca="1" si="50"/>
        <v>fff</v>
      </c>
      <c r="E297" t="str">
        <f t="shared" ca="1" si="51"/>
        <v>23- fff48- 26.329 N</v>
      </c>
      <c r="F297" t="str">
        <f t="shared" ca="1" si="52"/>
        <v>23- fff48- 26.329 N</v>
      </c>
      <c r="H297" t="s">
        <v>2781</v>
      </c>
      <c r="I297" t="str">
        <f t="shared" ca="1" si="53"/>
        <v>90- 25</v>
      </c>
      <c r="J297" t="str">
        <f t="shared" ca="1" si="54"/>
        <v>- 51.319 E</v>
      </c>
      <c r="K297" t="str">
        <f t="shared" ca="1" si="55"/>
        <v>J</v>
      </c>
      <c r="L297" t="str">
        <f t="shared" ca="1" si="56"/>
        <v>90- 25J- 51.319 E</v>
      </c>
      <c r="M297" t="str">
        <f t="shared" ca="1" si="57"/>
        <v>90- 25J- 51.319 E</v>
      </c>
      <c r="N297">
        <f t="shared" ca="1" si="58"/>
        <v>23.807313611111113</v>
      </c>
      <c r="O297">
        <f t="shared" ca="1" si="59"/>
        <v>90.430921944444449</v>
      </c>
    </row>
    <row r="298" spans="1:15" x14ac:dyDescent="0.3">
      <c r="A298" t="s">
        <v>2288</v>
      </c>
      <c r="B298" t="str">
        <f t="shared" ca="1" si="48"/>
        <v xml:space="preserve">23- 48- </v>
      </c>
      <c r="C298" t="str">
        <f t="shared" ca="1" si="49"/>
        <v>26.916 N</v>
      </c>
      <c r="D298" t="str">
        <f t="shared" ca="1" si="50"/>
        <v>R</v>
      </c>
      <c r="E298" t="str">
        <f t="shared" ca="1" si="51"/>
        <v>23- 48- R26.916 N</v>
      </c>
      <c r="F298" t="str">
        <f t="shared" ca="1" si="52"/>
        <v>23- 48- R26.916 N</v>
      </c>
      <c r="H298" t="s">
        <v>2782</v>
      </c>
      <c r="I298" t="str">
        <f t="shared" ca="1" si="53"/>
        <v>90- 26- 2</v>
      </c>
      <c r="J298" t="str">
        <f t="shared" ca="1" si="54"/>
        <v>6.625 E</v>
      </c>
      <c r="K298" t="str">
        <f t="shared" ca="1" si="55"/>
        <v>t</v>
      </c>
      <c r="L298" t="str">
        <f t="shared" ca="1" si="56"/>
        <v>90- 26- 2t6.625 E</v>
      </c>
      <c r="M298" t="str">
        <f t="shared" ca="1" si="57"/>
        <v>90- 26- 2t6.625 E</v>
      </c>
      <c r="N298">
        <f t="shared" ca="1" si="58"/>
        <v>23.807476666666666</v>
      </c>
      <c r="O298">
        <f t="shared" ca="1" si="59"/>
        <v>90.440729166666671</v>
      </c>
    </row>
    <row r="299" spans="1:15" x14ac:dyDescent="0.3">
      <c r="A299" t="s">
        <v>2289</v>
      </c>
      <c r="B299" t="str">
        <f t="shared" ca="1" si="48"/>
        <v>23- 48- 27.50</v>
      </c>
      <c r="C299" t="str">
        <f t="shared" ca="1" si="49"/>
        <v>1 N</v>
      </c>
      <c r="D299" t="str">
        <f t="shared" ca="1" si="50"/>
        <v>VVVV</v>
      </c>
      <c r="E299" t="str">
        <f t="shared" ca="1" si="51"/>
        <v>23- 48- 27.50VVVV1 N</v>
      </c>
      <c r="F299" t="str">
        <f t="shared" ca="1" si="52"/>
        <v>23- 48- 27.50VVVV1 N</v>
      </c>
      <c r="H299" t="s">
        <v>2783</v>
      </c>
      <c r="I299" t="str">
        <f t="shared" ca="1" si="53"/>
        <v>90- 27- 1.932</v>
      </c>
      <c r="J299" t="str">
        <f t="shared" ca="1" si="54"/>
        <v xml:space="preserve"> E</v>
      </c>
      <c r="K299" t="str">
        <f t="shared" ca="1" si="55"/>
        <v>ccc</v>
      </c>
      <c r="L299" t="str">
        <f t="shared" ca="1" si="56"/>
        <v>90- 27- 1.932ccc E</v>
      </c>
      <c r="M299" t="str">
        <f t="shared" ca="1" si="57"/>
        <v>90- 27- 1.932ccc E</v>
      </c>
      <c r="N299">
        <f t="shared" ca="1" si="58"/>
        <v>23.807639166666668</v>
      </c>
      <c r="O299">
        <f t="shared" ca="1" si="59"/>
        <v>90.450536666666665</v>
      </c>
    </row>
    <row r="300" spans="1:15" x14ac:dyDescent="0.3">
      <c r="A300" t="s">
        <v>2290</v>
      </c>
      <c r="B300" t="str">
        <f t="shared" ca="1" si="48"/>
        <v>2</v>
      </c>
      <c r="C300" t="str">
        <f t="shared" ca="1" si="49"/>
        <v>3- 48- 8.084 N</v>
      </c>
      <c r="D300" t="str">
        <f t="shared" ca="1" si="50"/>
        <v>m</v>
      </c>
      <c r="E300" t="str">
        <f t="shared" ca="1" si="51"/>
        <v>2m3- 48- 8.084 N</v>
      </c>
      <c r="F300" t="str">
        <f t="shared" ca="1" si="52"/>
        <v>2m3- 48- 8.084 N</v>
      </c>
      <c r="H300" t="s">
        <v>2784</v>
      </c>
      <c r="I300" t="str">
        <f t="shared" ca="1" si="53"/>
        <v>90- 27- 37</v>
      </c>
      <c r="J300" t="str">
        <f t="shared" ca="1" si="54"/>
        <v>.239 E</v>
      </c>
      <c r="K300" t="str">
        <f t="shared" ca="1" si="55"/>
        <v>]]]]</v>
      </c>
      <c r="L300" t="str">
        <f t="shared" ca="1" si="56"/>
        <v>90- 27- 37]]]].239 E</v>
      </c>
      <c r="M300" t="str">
        <f t="shared" ca="1" si="57"/>
        <v>90- 27- 37]]]].239 E</v>
      </c>
      <c r="N300">
        <f t="shared" ca="1" si="58"/>
        <v>23.802245555555555</v>
      </c>
      <c r="O300">
        <f t="shared" ca="1" si="59"/>
        <v>90.460344166666673</v>
      </c>
    </row>
    <row r="301" spans="1:15" x14ac:dyDescent="0.3">
      <c r="A301" t="s">
        <v>2291</v>
      </c>
      <c r="B301" t="str">
        <f t="shared" ca="1" si="48"/>
        <v xml:space="preserve">23- 48- 28.664 </v>
      </c>
      <c r="C301" t="str">
        <f t="shared" ca="1" si="49"/>
        <v>N</v>
      </c>
      <c r="D301" t="str">
        <f t="shared" ca="1" si="50"/>
        <v>p</v>
      </c>
      <c r="E301" t="str">
        <f t="shared" ca="1" si="51"/>
        <v>23- 48- 28.664 pN</v>
      </c>
      <c r="F301" t="str">
        <f t="shared" ca="1" si="52"/>
        <v>23- 48- 28.664 pN</v>
      </c>
      <c r="H301" t="s">
        <v>2785</v>
      </c>
      <c r="I301" t="str">
        <f t="shared" ca="1" si="53"/>
        <v>90- 28</v>
      </c>
      <c r="J301" t="str">
        <f t="shared" ca="1" si="54"/>
        <v>- 12.546 E</v>
      </c>
      <c r="K301" t="str">
        <f t="shared" ca="1" si="55"/>
        <v>b</v>
      </c>
      <c r="L301" t="str">
        <f t="shared" ca="1" si="56"/>
        <v>90- 28b- 12.546 E</v>
      </c>
      <c r="M301" t="str">
        <f t="shared" ca="1" si="57"/>
        <v>90- 28b- 12.546 E</v>
      </c>
      <c r="N301">
        <f t="shared" ca="1" si="58"/>
        <v>23.807962222222223</v>
      </c>
      <c r="O301">
        <f t="shared" ca="1" si="59"/>
        <v>90.470151666666666</v>
      </c>
    </row>
    <row r="302" spans="1:15" x14ac:dyDescent="0.3">
      <c r="A302" t="s">
        <v>2292</v>
      </c>
      <c r="B302" t="str">
        <f t="shared" ca="1" si="48"/>
        <v>23-</v>
      </c>
      <c r="C302" t="str">
        <f t="shared" ca="1" si="49"/>
        <v xml:space="preserve"> 48- 29.243 N</v>
      </c>
      <c r="D302" t="str">
        <f t="shared" ca="1" si="50"/>
        <v>UUUUU</v>
      </c>
      <c r="E302" t="str">
        <f t="shared" ca="1" si="51"/>
        <v>23-UUUUU 48- 29.243 N</v>
      </c>
      <c r="F302" t="str">
        <f t="shared" ca="1" si="52"/>
        <v>23-UUUUU 48- 29.243 N</v>
      </c>
      <c r="H302" t="s">
        <v>2786</v>
      </c>
      <c r="I302" t="str">
        <f t="shared" ca="1" si="53"/>
        <v>90- 28- 47.854 E</v>
      </c>
      <c r="J302" t="str">
        <f t="shared" ca="1" si="54"/>
        <v/>
      </c>
      <c r="K302" t="str">
        <f t="shared" ca="1" si="55"/>
        <v>~~~~~</v>
      </c>
      <c r="L302" t="str">
        <f t="shared" ca="1" si="56"/>
        <v>90- 28- 47.854 E~~~~~</v>
      </c>
      <c r="M302" t="str">
        <f t="shared" ca="1" si="57"/>
        <v>90- 28- 47.854 E~~~~~</v>
      </c>
      <c r="N302">
        <f t="shared" ca="1" si="58"/>
        <v>23.808123055555555</v>
      </c>
      <c r="O302">
        <f t="shared" ca="1" si="59"/>
        <v>90.479959444444447</v>
      </c>
    </row>
    <row r="303" spans="1:15" x14ac:dyDescent="0.3">
      <c r="A303" t="s">
        <v>2293</v>
      </c>
      <c r="B303" t="str">
        <f t="shared" ca="1" si="48"/>
        <v>23</v>
      </c>
      <c r="C303" t="str">
        <f t="shared" ca="1" si="49"/>
        <v>- 48- 29.819 N</v>
      </c>
      <c r="D303" t="str">
        <f t="shared" ca="1" si="50"/>
        <v>{{{{{</v>
      </c>
      <c r="E303" t="str">
        <f t="shared" ca="1" si="51"/>
        <v>23{{{{{- 48- 29.819 N</v>
      </c>
      <c r="F303" t="str">
        <f t="shared" ca="1" si="52"/>
        <v>23{{{{{- 48- 29.819 N</v>
      </c>
      <c r="H303" t="s">
        <v>2787</v>
      </c>
      <c r="I303" t="str">
        <f t="shared" ca="1" si="53"/>
        <v>90- 29- 23.</v>
      </c>
      <c r="J303" t="str">
        <f t="shared" ca="1" si="54"/>
        <v>162 E</v>
      </c>
      <c r="K303" t="str">
        <f t="shared" ca="1" si="55"/>
        <v>WWWW</v>
      </c>
      <c r="L303" t="str">
        <f t="shared" ca="1" si="56"/>
        <v>90- 29- 23.WWWW162 E</v>
      </c>
      <c r="M303" t="str">
        <f t="shared" ca="1" si="57"/>
        <v>90- 29- 23.WWWW162 E</v>
      </c>
      <c r="N303">
        <f t="shared" ca="1" si="58"/>
        <v>23.808283055555556</v>
      </c>
      <c r="O303">
        <f t="shared" ca="1" si="59"/>
        <v>90.489767222222227</v>
      </c>
    </row>
    <row r="304" spans="1:15" x14ac:dyDescent="0.3">
      <c r="A304" t="s">
        <v>2294</v>
      </c>
      <c r="B304" t="str">
        <f t="shared" ca="1" si="48"/>
        <v>23- 48</v>
      </c>
      <c r="C304" t="str">
        <f t="shared" ca="1" si="49"/>
        <v>- 30.393 N</v>
      </c>
      <c r="D304" t="str">
        <f t="shared" ca="1" si="50"/>
        <v>yyyyy</v>
      </c>
      <c r="E304" t="str">
        <f t="shared" ca="1" si="51"/>
        <v>23- 48yyyyy- 30.393 N</v>
      </c>
      <c r="F304" t="str">
        <f t="shared" ca="1" si="52"/>
        <v>23- 48yyyyy- 30.393 N</v>
      </c>
      <c r="H304" t="s">
        <v>2788</v>
      </c>
      <c r="I304" t="str">
        <f t="shared" ca="1" si="53"/>
        <v>90- 29- 58.470 E</v>
      </c>
      <c r="J304" t="str">
        <f t="shared" ca="1" si="54"/>
        <v/>
      </c>
      <c r="K304" t="str">
        <f t="shared" ca="1" si="55"/>
        <v>CCCC</v>
      </c>
      <c r="L304" t="str">
        <f t="shared" ca="1" si="56"/>
        <v>90- 29- 58.470 ECCCC</v>
      </c>
      <c r="M304" t="str">
        <f t="shared" ca="1" si="57"/>
        <v>90- 29- 58.470 ECCCC</v>
      </c>
      <c r="N304">
        <f t="shared" ca="1" si="58"/>
        <v>23.808442500000002</v>
      </c>
      <c r="O304">
        <f t="shared" ca="1" si="59"/>
        <v>90.499575000000007</v>
      </c>
    </row>
    <row r="305" spans="1:15" x14ac:dyDescent="0.3">
      <c r="A305" t="s">
        <v>2295</v>
      </c>
      <c r="B305" t="str">
        <f t="shared" ca="1" si="48"/>
        <v>23- 48- 30.9</v>
      </c>
      <c r="C305" t="str">
        <f t="shared" ca="1" si="49"/>
        <v>64 N</v>
      </c>
      <c r="D305" t="str">
        <f t="shared" ca="1" si="50"/>
        <v>NNNN</v>
      </c>
      <c r="E305" t="str">
        <f t="shared" ca="1" si="51"/>
        <v>23- 48- 30.9NNNN64 N</v>
      </c>
      <c r="F305" t="str">
        <f t="shared" ca="1" si="52"/>
        <v>23- 48- 30.9NNNN64 N</v>
      </c>
      <c r="H305" t="s">
        <v>2789</v>
      </c>
      <c r="I305" t="str">
        <f t="shared" ca="1" si="53"/>
        <v>90- 30- 33.</v>
      </c>
      <c r="J305" t="str">
        <f t="shared" ca="1" si="54"/>
        <v>779 E</v>
      </c>
      <c r="K305" t="str">
        <f t="shared" ca="1" si="55"/>
        <v>bbb</v>
      </c>
      <c r="L305" t="str">
        <f t="shared" ca="1" si="56"/>
        <v>90- 30- 33.bbb779 E</v>
      </c>
      <c r="M305" t="str">
        <f t="shared" ca="1" si="57"/>
        <v>90- 30- 33.bbb779 E</v>
      </c>
      <c r="N305">
        <f t="shared" ca="1" si="58"/>
        <v>23.808601111111113</v>
      </c>
      <c r="O305">
        <f t="shared" ca="1" si="59"/>
        <v>90.50938305555556</v>
      </c>
    </row>
    <row r="306" spans="1:15" x14ac:dyDescent="0.3">
      <c r="A306" t="s">
        <v>2296</v>
      </c>
      <c r="B306" t="str">
        <f t="shared" ca="1" si="48"/>
        <v>23- 48- 52.815</v>
      </c>
      <c r="C306" t="str">
        <f t="shared" ca="1" si="49"/>
        <v xml:space="preserve"> N</v>
      </c>
      <c r="D306" t="str">
        <f t="shared" ca="1" si="50"/>
        <v>]</v>
      </c>
      <c r="E306" t="str">
        <f t="shared" ca="1" si="51"/>
        <v>23- 48- 52.815] N</v>
      </c>
      <c r="F306" t="str">
        <f t="shared" ca="1" si="52"/>
        <v>23- 48- 52.815] N</v>
      </c>
      <c r="H306" t="s">
        <v>2790</v>
      </c>
      <c r="I306" t="str">
        <f t="shared" ca="1" si="53"/>
        <v>9</v>
      </c>
      <c r="J306" t="str">
        <f t="shared" ca="1" si="54"/>
        <v>0- 1- 57.608 E</v>
      </c>
      <c r="K306" t="str">
        <f t="shared" ca="1" si="55"/>
        <v>w</v>
      </c>
      <c r="L306" t="str">
        <f t="shared" ca="1" si="56"/>
        <v>9w0- 1- 57.608 E</v>
      </c>
      <c r="M306" t="str">
        <f t="shared" ca="1" si="57"/>
        <v>9w0- 1- 57.608 E</v>
      </c>
      <c r="N306">
        <f t="shared" ca="1" si="58"/>
        <v>23.814670833333334</v>
      </c>
      <c r="O306">
        <f t="shared" ca="1" si="59"/>
        <v>90.032668888888892</v>
      </c>
    </row>
    <row r="307" spans="1:15" x14ac:dyDescent="0.3">
      <c r="A307" t="s">
        <v>2297</v>
      </c>
      <c r="B307" t="str">
        <f t="shared" ca="1" si="48"/>
        <v>23- 48-</v>
      </c>
      <c r="C307" t="str">
        <f t="shared" ca="1" si="49"/>
        <v xml:space="preserve"> 53.425 N</v>
      </c>
      <c r="D307" t="str">
        <f t="shared" ca="1" si="50"/>
        <v>ff</v>
      </c>
      <c r="E307" t="str">
        <f t="shared" ca="1" si="51"/>
        <v>23- 48-ff 53.425 N</v>
      </c>
      <c r="F307" t="str">
        <f t="shared" ca="1" si="52"/>
        <v>23- 48-ff 53.425 N</v>
      </c>
      <c r="H307" t="s">
        <v>2791</v>
      </c>
      <c r="I307" t="str">
        <f t="shared" ca="1" si="53"/>
        <v>90-</v>
      </c>
      <c r="J307" t="str">
        <f t="shared" ca="1" si="54"/>
        <v xml:space="preserve"> 20- 32.914 E</v>
      </c>
      <c r="K307" t="str">
        <f t="shared" ca="1" si="55"/>
        <v>g</v>
      </c>
      <c r="L307" t="str">
        <f t="shared" ca="1" si="56"/>
        <v>90-g 20- 32.914 E</v>
      </c>
      <c r="M307" t="str">
        <f t="shared" ca="1" si="57"/>
        <v>90-g 20- 32.914 E</v>
      </c>
      <c r="N307">
        <f t="shared" ca="1" si="58"/>
        <v>23.81484027777778</v>
      </c>
      <c r="O307">
        <f t="shared" ca="1" si="59"/>
        <v>90.342476111111111</v>
      </c>
    </row>
    <row r="308" spans="1:15" x14ac:dyDescent="0.3">
      <c r="A308" t="s">
        <v>2298</v>
      </c>
      <c r="B308" t="str">
        <f t="shared" ca="1" si="48"/>
        <v>23- 48-</v>
      </c>
      <c r="C308" t="str">
        <f t="shared" ca="1" si="49"/>
        <v xml:space="preserve"> 54.033 N</v>
      </c>
      <c r="D308" t="str">
        <f t="shared" ca="1" si="50"/>
        <v>fffff</v>
      </c>
      <c r="E308" t="str">
        <f t="shared" ca="1" si="51"/>
        <v>23- 48-fffff 54.033 N</v>
      </c>
      <c r="F308" t="str">
        <f t="shared" ca="1" si="52"/>
        <v>23- 48-fffff 54.033 N</v>
      </c>
      <c r="H308" t="s">
        <v>2792</v>
      </c>
      <c r="I308" t="str">
        <f t="shared" ca="1" si="53"/>
        <v xml:space="preserve">90- </v>
      </c>
      <c r="J308" t="str">
        <f t="shared" ca="1" si="54"/>
        <v>21- 8.220 E</v>
      </c>
      <c r="K308" t="str">
        <f t="shared" ca="1" si="55"/>
        <v>RRRRR</v>
      </c>
      <c r="L308" t="str">
        <f t="shared" ca="1" si="56"/>
        <v>90- RRRRR21- 8.220 E</v>
      </c>
      <c r="M308" t="str">
        <f t="shared" ca="1" si="57"/>
        <v>90- RRRRR21- 8.220 E</v>
      </c>
      <c r="N308">
        <f t="shared" ca="1" si="58"/>
        <v>23.815009166666666</v>
      </c>
      <c r="O308">
        <f t="shared" ca="1" si="59"/>
        <v>90.352283333333332</v>
      </c>
    </row>
    <row r="309" spans="1:15" x14ac:dyDescent="0.3">
      <c r="A309" t="s">
        <v>2299</v>
      </c>
      <c r="B309" t="str">
        <f t="shared" ca="1" si="48"/>
        <v>23- 48- 5</v>
      </c>
      <c r="C309" t="str">
        <f t="shared" ca="1" si="49"/>
        <v>4.638 N</v>
      </c>
      <c r="D309" t="str">
        <f t="shared" ca="1" si="50"/>
        <v>NNN</v>
      </c>
      <c r="E309" t="str">
        <f t="shared" ca="1" si="51"/>
        <v>23- 48- 5NNN4.638 N</v>
      </c>
      <c r="F309" t="str">
        <f t="shared" ca="1" si="52"/>
        <v>23- 48- 5NNN4.638 N</v>
      </c>
      <c r="H309" t="s">
        <v>2793</v>
      </c>
      <c r="I309" t="str">
        <f t="shared" ca="1" si="53"/>
        <v>90- 21</v>
      </c>
      <c r="J309" t="str">
        <f t="shared" ca="1" si="54"/>
        <v>- 43.526 E</v>
      </c>
      <c r="K309" t="str">
        <f t="shared" ca="1" si="55"/>
        <v>u</v>
      </c>
      <c r="L309" t="str">
        <f t="shared" ca="1" si="56"/>
        <v>90- 21u- 43.526 E</v>
      </c>
      <c r="M309" t="str">
        <f t="shared" ca="1" si="57"/>
        <v>90- 21u- 43.526 E</v>
      </c>
      <c r="N309">
        <f t="shared" ca="1" si="58"/>
        <v>23.815177222222221</v>
      </c>
      <c r="O309">
        <f t="shared" ca="1" si="59"/>
        <v>90.362090555555554</v>
      </c>
    </row>
    <row r="310" spans="1:15" x14ac:dyDescent="0.3">
      <c r="A310" t="s">
        <v>2300</v>
      </c>
      <c r="B310" t="str">
        <f t="shared" ca="1" si="48"/>
        <v>23- 48-</v>
      </c>
      <c r="C310" t="str">
        <f t="shared" ca="1" si="49"/>
        <v xml:space="preserve"> 55.241 N</v>
      </c>
      <c r="D310" t="str">
        <f t="shared" ca="1" si="50"/>
        <v>^^^^</v>
      </c>
      <c r="E310" t="str">
        <f t="shared" ca="1" si="51"/>
        <v>23- 48-^^^^ 55.241 N</v>
      </c>
      <c r="F310" t="str">
        <f t="shared" ca="1" si="52"/>
        <v>23- 48-^^^^ 55.241 N</v>
      </c>
      <c r="H310" t="s">
        <v>2794</v>
      </c>
      <c r="I310" t="str">
        <f t="shared" ca="1" si="53"/>
        <v xml:space="preserve">90- </v>
      </c>
      <c r="J310" t="str">
        <f t="shared" ca="1" si="54"/>
        <v>22- 18.833 E</v>
      </c>
      <c r="K310" t="str">
        <f t="shared" ca="1" si="55"/>
        <v>LLLL</v>
      </c>
      <c r="L310" t="str">
        <f t="shared" ca="1" si="56"/>
        <v>90- LLLL22- 18.833 E</v>
      </c>
      <c r="M310" t="str">
        <f t="shared" ca="1" si="57"/>
        <v>90- LLLL22- 18.833 E</v>
      </c>
      <c r="N310">
        <f t="shared" ca="1" si="58"/>
        <v>23.815344722222221</v>
      </c>
      <c r="O310">
        <f t="shared" ca="1" si="59"/>
        <v>90.371898055555548</v>
      </c>
    </row>
    <row r="311" spans="1:15" x14ac:dyDescent="0.3">
      <c r="A311" t="s">
        <v>2301</v>
      </c>
      <c r="B311" t="str">
        <f t="shared" ca="1" si="48"/>
        <v>23- 48- 55.842 N</v>
      </c>
      <c r="C311" t="str">
        <f t="shared" ca="1" si="49"/>
        <v/>
      </c>
      <c r="D311" t="str">
        <f t="shared" ca="1" si="50"/>
        <v>m</v>
      </c>
      <c r="E311" t="str">
        <f t="shared" ca="1" si="51"/>
        <v>23- 48- 55.842 Nm</v>
      </c>
      <c r="F311" t="str">
        <f t="shared" ca="1" si="52"/>
        <v>23- 48- 55.842 Nm</v>
      </c>
      <c r="H311" t="s">
        <v>2795</v>
      </c>
      <c r="I311" t="str">
        <f t="shared" ca="1" si="53"/>
        <v>90-</v>
      </c>
      <c r="J311" t="str">
        <f t="shared" ca="1" si="54"/>
        <v xml:space="preserve"> 22- 54.140 E</v>
      </c>
      <c r="K311" t="str">
        <f t="shared" ca="1" si="55"/>
        <v>_</v>
      </c>
      <c r="L311" t="str">
        <f t="shared" ca="1" si="56"/>
        <v>90-_ 22- 54.140 E</v>
      </c>
      <c r="M311" t="str">
        <f t="shared" ca="1" si="57"/>
        <v>90-_ 22- 54.140 E</v>
      </c>
      <c r="N311">
        <f t="shared" ca="1" si="58"/>
        <v>23.815511666666666</v>
      </c>
      <c r="O311">
        <f t="shared" ca="1" si="59"/>
        <v>90.381705555555556</v>
      </c>
    </row>
    <row r="312" spans="1:15" x14ac:dyDescent="0.3">
      <c r="A312" t="s">
        <v>2302</v>
      </c>
      <c r="B312" t="str">
        <f t="shared" ca="1" si="48"/>
        <v>23- 48- 56.441</v>
      </c>
      <c r="C312" t="str">
        <f t="shared" ca="1" si="49"/>
        <v xml:space="preserve"> N</v>
      </c>
      <c r="D312" t="str">
        <f t="shared" ca="1" si="50"/>
        <v>JJJJJ</v>
      </c>
      <c r="E312" t="str">
        <f t="shared" ca="1" si="51"/>
        <v>23- 48- 56.441JJJJJ N</v>
      </c>
      <c r="F312" t="str">
        <f t="shared" ca="1" si="52"/>
        <v>23- 48- 56.441JJJJJ N</v>
      </c>
      <c r="H312" t="s">
        <v>2796</v>
      </c>
      <c r="I312" t="str">
        <f t="shared" ca="1" si="53"/>
        <v>90- 23- 29.447 E</v>
      </c>
      <c r="J312" t="str">
        <f t="shared" ca="1" si="54"/>
        <v/>
      </c>
      <c r="K312" t="str">
        <f t="shared" ca="1" si="55"/>
        <v>DDDDD</v>
      </c>
      <c r="L312" t="str">
        <f t="shared" ca="1" si="56"/>
        <v>90- 23- 29.447 EDDDDD</v>
      </c>
      <c r="M312" t="str">
        <f t="shared" ca="1" si="57"/>
        <v>90- 23- 29.447 EDDDDD</v>
      </c>
      <c r="N312">
        <f t="shared" ca="1" si="58"/>
        <v>23.815678055555555</v>
      </c>
      <c r="O312">
        <f t="shared" ca="1" si="59"/>
        <v>90.391513055555563</v>
      </c>
    </row>
    <row r="313" spans="1:15" x14ac:dyDescent="0.3">
      <c r="A313" t="s">
        <v>2303</v>
      </c>
      <c r="B313" t="str">
        <f t="shared" ca="1" si="48"/>
        <v>23- 48- 57.0</v>
      </c>
      <c r="C313" t="str">
        <f t="shared" ca="1" si="49"/>
        <v>37 N</v>
      </c>
      <c r="D313" t="str">
        <f t="shared" ca="1" si="50"/>
        <v>PP</v>
      </c>
      <c r="E313" t="str">
        <f t="shared" ca="1" si="51"/>
        <v>23- 48- 57.0PP37 N</v>
      </c>
      <c r="F313" t="str">
        <f t="shared" ca="1" si="52"/>
        <v>23- 48- 57.0PP37 N</v>
      </c>
      <c r="H313" t="s">
        <v>2797</v>
      </c>
      <c r="I313" t="str">
        <f t="shared" ca="1" si="53"/>
        <v>90-</v>
      </c>
      <c r="J313" t="str">
        <f t="shared" ca="1" si="54"/>
        <v xml:space="preserve"> 24- 4.754 E</v>
      </c>
      <c r="K313" t="str">
        <f t="shared" ca="1" si="55"/>
        <v>T</v>
      </c>
      <c r="L313" t="str">
        <f t="shared" ca="1" si="56"/>
        <v>90-T 24- 4.754 E</v>
      </c>
      <c r="M313" t="str">
        <f t="shared" ca="1" si="57"/>
        <v>90-T 24- 4.754 E</v>
      </c>
      <c r="N313">
        <f t="shared" ca="1" si="58"/>
        <v>23.815843611111113</v>
      </c>
      <c r="O313">
        <f t="shared" ca="1" si="59"/>
        <v>90.401320555555557</v>
      </c>
    </row>
    <row r="314" spans="1:15" x14ac:dyDescent="0.3">
      <c r="A314" t="s">
        <v>2304</v>
      </c>
      <c r="B314" t="str">
        <f t="shared" ca="1" si="48"/>
        <v>23- 48- 5</v>
      </c>
      <c r="C314" t="str">
        <f t="shared" ca="1" si="49"/>
        <v>7.631 N</v>
      </c>
      <c r="D314" t="str">
        <f t="shared" ca="1" si="50"/>
        <v>QQ</v>
      </c>
      <c r="E314" t="str">
        <f t="shared" ca="1" si="51"/>
        <v>23- 48- 5QQ7.631 N</v>
      </c>
      <c r="F314" t="str">
        <f t="shared" ca="1" si="52"/>
        <v>23- 48- 5QQ7.631 N</v>
      </c>
      <c r="H314" t="s">
        <v>2798</v>
      </c>
      <c r="I314" t="str">
        <f t="shared" ca="1" si="53"/>
        <v xml:space="preserve">90- 24- 40.062 </v>
      </c>
      <c r="J314" t="str">
        <f t="shared" ca="1" si="54"/>
        <v>E</v>
      </c>
      <c r="K314" t="str">
        <f t="shared" ca="1" si="55"/>
        <v>SSSS</v>
      </c>
      <c r="L314" t="str">
        <f t="shared" ca="1" si="56"/>
        <v>90- 24- 40.062 SSSSE</v>
      </c>
      <c r="M314" t="str">
        <f t="shared" ca="1" si="57"/>
        <v>90- 24- 40.062 SSSSE</v>
      </c>
      <c r="N314">
        <f t="shared" ca="1" si="58"/>
        <v>23.816008611111112</v>
      </c>
      <c r="O314">
        <f t="shared" ca="1" si="59"/>
        <v>90.411128333333338</v>
      </c>
    </row>
    <row r="315" spans="1:15" x14ac:dyDescent="0.3">
      <c r="A315" t="s">
        <v>2305</v>
      </c>
      <c r="B315" t="str">
        <f t="shared" ca="1" si="48"/>
        <v>23</v>
      </c>
      <c r="C315" t="str">
        <f t="shared" ca="1" si="49"/>
        <v>- 48- 58.2 N</v>
      </c>
      <c r="D315" t="str">
        <f t="shared" ca="1" si="50"/>
        <v>\\\</v>
      </c>
      <c r="E315" t="str">
        <f t="shared" ca="1" si="51"/>
        <v>23\\\- 48- 58.2 N</v>
      </c>
      <c r="F315" t="str">
        <f t="shared" ca="1" si="52"/>
        <v>23\\\- 48- 58.2 N</v>
      </c>
      <c r="H315" t="s">
        <v>2799</v>
      </c>
      <c r="I315" t="str">
        <f t="shared" ca="1" si="53"/>
        <v xml:space="preserve">90- 25- 15.371 </v>
      </c>
      <c r="J315" t="str">
        <f t="shared" ca="1" si="54"/>
        <v>E</v>
      </c>
      <c r="K315" t="str">
        <f t="shared" ca="1" si="55"/>
        <v>vv</v>
      </c>
      <c r="L315" t="str">
        <f t="shared" ca="1" si="56"/>
        <v>90- 25- 15.371 vvE</v>
      </c>
      <c r="M315" t="str">
        <f t="shared" ca="1" si="57"/>
        <v>90- 25- 15.371 vvE</v>
      </c>
      <c r="N315">
        <f t="shared" ca="1" si="58"/>
        <v>23.816166666666668</v>
      </c>
      <c r="O315">
        <f t="shared" ca="1" si="59"/>
        <v>90.42093638888889</v>
      </c>
    </row>
    <row r="316" spans="1:15" x14ac:dyDescent="0.3">
      <c r="A316" t="s">
        <v>2306</v>
      </c>
      <c r="B316" t="str">
        <f t="shared" ca="1" si="48"/>
        <v>23- 48-</v>
      </c>
      <c r="C316" t="str">
        <f t="shared" ca="1" si="49"/>
        <v xml:space="preserve"> 58.813 N</v>
      </c>
      <c r="D316" t="str">
        <f t="shared" ca="1" si="50"/>
        <v>}</v>
      </c>
      <c r="E316" t="str">
        <f t="shared" ca="1" si="51"/>
        <v>23- 48-} 58.813 N</v>
      </c>
      <c r="F316" t="str">
        <f t="shared" ca="1" si="52"/>
        <v>23- 48-} 58.813 N</v>
      </c>
      <c r="H316" t="s">
        <v>2800</v>
      </c>
      <c r="I316" t="str">
        <f t="shared" ca="1" si="53"/>
        <v>90- 25- 50.</v>
      </c>
      <c r="J316" t="str">
        <f t="shared" ca="1" si="54"/>
        <v>679 E</v>
      </c>
      <c r="K316" t="str">
        <f t="shared" ca="1" si="55"/>
        <v>^^</v>
      </c>
      <c r="L316" t="str">
        <f t="shared" ca="1" si="56"/>
        <v>90- 25- 50.^^679 E</v>
      </c>
      <c r="M316" t="str">
        <f t="shared" ca="1" si="57"/>
        <v>90- 25- 50.^^679 E</v>
      </c>
      <c r="N316">
        <f t="shared" ca="1" si="58"/>
        <v>23.816336944444444</v>
      </c>
      <c r="O316">
        <f t="shared" ca="1" si="59"/>
        <v>90.43074416666667</v>
      </c>
    </row>
    <row r="317" spans="1:15" x14ac:dyDescent="0.3">
      <c r="A317" t="s">
        <v>2307</v>
      </c>
      <c r="B317" t="str">
        <f t="shared" ca="1" si="48"/>
        <v>23- 48- 59.401 N</v>
      </c>
      <c r="C317" t="str">
        <f t="shared" ca="1" si="49"/>
        <v/>
      </c>
      <c r="D317" t="str">
        <f t="shared" ca="1" si="50"/>
        <v>eeeee</v>
      </c>
      <c r="E317" t="str">
        <f t="shared" ca="1" si="51"/>
        <v>23- 48- 59.401 Neeeee</v>
      </c>
      <c r="F317" t="str">
        <f t="shared" ca="1" si="52"/>
        <v>23- 48- 59.401 Neeeee</v>
      </c>
      <c r="H317" t="s">
        <v>2801</v>
      </c>
      <c r="I317" t="str">
        <f t="shared" ca="1" si="53"/>
        <v>9</v>
      </c>
      <c r="J317" t="str">
        <f t="shared" ca="1" si="54"/>
        <v>0- 26- 25.88 E</v>
      </c>
      <c r="K317" t="str">
        <f t="shared" ca="1" si="55"/>
        <v>`</v>
      </c>
      <c r="L317" t="str">
        <f t="shared" ca="1" si="56"/>
        <v>9`0- 26- 25.88 E</v>
      </c>
      <c r="M317" t="str">
        <f t="shared" ca="1" si="57"/>
        <v>9`0- 26- 25.88 E</v>
      </c>
      <c r="N317">
        <f t="shared" ca="1" si="58"/>
        <v>23.816500277777777</v>
      </c>
      <c r="O317">
        <f t="shared" ca="1" si="59"/>
        <v>90.440522222222228</v>
      </c>
    </row>
    <row r="318" spans="1:15" x14ac:dyDescent="0.3">
      <c r="A318" t="s">
        <v>2308</v>
      </c>
      <c r="B318" t="str">
        <f t="shared" ca="1" si="48"/>
        <v>2</v>
      </c>
      <c r="C318" t="str">
        <f t="shared" ca="1" si="49"/>
        <v>3- 48- 59.986 N</v>
      </c>
      <c r="D318" t="str">
        <f t="shared" ca="1" si="50"/>
        <v>rrrr</v>
      </c>
      <c r="E318" t="str">
        <f t="shared" ca="1" si="51"/>
        <v>2rrrr3- 48- 59.986 N</v>
      </c>
      <c r="F318" t="str">
        <f t="shared" ca="1" si="52"/>
        <v>2rrrr3- 48- 59.986 N</v>
      </c>
      <c r="H318" t="s">
        <v>2802</v>
      </c>
      <c r="I318" t="str">
        <f t="shared" ca="1" si="53"/>
        <v>90- 27- 1.297 E</v>
      </c>
      <c r="J318" t="str">
        <f t="shared" ca="1" si="54"/>
        <v/>
      </c>
      <c r="K318" t="str">
        <f t="shared" ca="1" si="55"/>
        <v>]]]]]</v>
      </c>
      <c r="L318" t="str">
        <f t="shared" ca="1" si="56"/>
        <v>90- 27- 1.297 E]]]]]</v>
      </c>
      <c r="M318" t="str">
        <f t="shared" ca="1" si="57"/>
        <v>90- 27- 1.297 E]]]]]</v>
      </c>
      <c r="N318">
        <f t="shared" ca="1" si="58"/>
        <v>23.816662777777779</v>
      </c>
      <c r="O318">
        <f t="shared" ca="1" si="59"/>
        <v>90.450360277777776</v>
      </c>
    </row>
    <row r="319" spans="1:15" x14ac:dyDescent="0.3">
      <c r="A319" t="s">
        <v>2309</v>
      </c>
      <c r="B319" t="str">
        <f t="shared" ca="1" si="48"/>
        <v>23- 49- 0.56</v>
      </c>
      <c r="C319" t="str">
        <f t="shared" ca="1" si="49"/>
        <v>9 N</v>
      </c>
      <c r="D319" t="str">
        <f t="shared" ca="1" si="50"/>
        <v>LLLLL</v>
      </c>
      <c r="E319" t="str">
        <f t="shared" ca="1" si="51"/>
        <v>23- 49- 0.56LLLLL9 N</v>
      </c>
      <c r="F319" t="str">
        <f t="shared" ca="1" si="52"/>
        <v>23- 49- 0.56LLLLL9 N</v>
      </c>
      <c r="H319" t="s">
        <v>2803</v>
      </c>
      <c r="I319" t="str">
        <f t="shared" ca="1" si="53"/>
        <v>90- 27- 36</v>
      </c>
      <c r="J319" t="str">
        <f t="shared" ca="1" si="54"/>
        <v>.607 E</v>
      </c>
      <c r="K319" t="str">
        <f t="shared" ca="1" si="55"/>
        <v>]]]]</v>
      </c>
      <c r="L319" t="str">
        <f t="shared" ca="1" si="56"/>
        <v>90- 27- 36]]]].607 E</v>
      </c>
      <c r="M319" t="str">
        <f t="shared" ca="1" si="57"/>
        <v>90- 27- 36]]]].607 E</v>
      </c>
      <c r="N319">
        <f t="shared" ca="1" si="58"/>
        <v>23.816824722222222</v>
      </c>
      <c r="O319">
        <f t="shared" ca="1" si="59"/>
        <v>90.460168611111115</v>
      </c>
    </row>
    <row r="320" spans="1:15" x14ac:dyDescent="0.3">
      <c r="A320" t="s">
        <v>2310</v>
      </c>
      <c r="B320" t="str">
        <f t="shared" ca="1" si="48"/>
        <v>23- 4</v>
      </c>
      <c r="C320" t="str">
        <f t="shared" ca="1" si="49"/>
        <v>9- 1.150 N</v>
      </c>
      <c r="D320" t="str">
        <f t="shared" ca="1" si="50"/>
        <v>WWWWW</v>
      </c>
      <c r="E320" t="str">
        <f t="shared" ca="1" si="51"/>
        <v>23- 4WWWWW9- 1.150 N</v>
      </c>
      <c r="F320" t="str">
        <f t="shared" ca="1" si="52"/>
        <v>23- 4WWWWW9- 1.150 N</v>
      </c>
      <c r="H320" t="s">
        <v>2804</v>
      </c>
      <c r="I320" t="str">
        <f t="shared" ca="1" si="53"/>
        <v>90- 2</v>
      </c>
      <c r="J320" t="str">
        <f t="shared" ca="1" si="54"/>
        <v>8- 11.916 E</v>
      </c>
      <c r="K320" t="str">
        <f t="shared" ca="1" si="55"/>
        <v>____</v>
      </c>
      <c r="L320" t="str">
        <f t="shared" ca="1" si="56"/>
        <v>90- 2____8- 11.916 E</v>
      </c>
      <c r="M320" t="str">
        <f t="shared" ca="1" si="57"/>
        <v>90- 2____8- 11.916 E</v>
      </c>
      <c r="N320">
        <f t="shared" ca="1" si="58"/>
        <v>23.81698611111111</v>
      </c>
      <c r="O320">
        <f t="shared" ca="1" si="59"/>
        <v>90.469976666666668</v>
      </c>
    </row>
    <row r="321" spans="1:15" x14ac:dyDescent="0.3">
      <c r="A321" t="s">
        <v>2311</v>
      </c>
      <c r="B321" t="str">
        <f t="shared" ca="1" si="48"/>
        <v>23- 49- 1.728</v>
      </c>
      <c r="C321" t="str">
        <f t="shared" ca="1" si="49"/>
        <v xml:space="preserve"> N</v>
      </c>
      <c r="D321" t="str">
        <f t="shared" ca="1" si="50"/>
        <v>m</v>
      </c>
      <c r="E321" t="str">
        <f t="shared" ca="1" si="51"/>
        <v>23- 49- 1.728m N</v>
      </c>
      <c r="F321" t="str">
        <f t="shared" ca="1" si="52"/>
        <v>23- 49- 1.728m N</v>
      </c>
      <c r="H321" t="s">
        <v>2805</v>
      </c>
      <c r="I321" t="str">
        <f t="shared" ca="1" si="53"/>
        <v>90- 28- 47.226 E</v>
      </c>
      <c r="J321" t="str">
        <f t="shared" ca="1" si="54"/>
        <v/>
      </c>
      <c r="K321" t="str">
        <f t="shared" ca="1" si="55"/>
        <v>CCC</v>
      </c>
      <c r="L321" t="str">
        <f t="shared" ca="1" si="56"/>
        <v>90- 28- 47.226 ECCC</v>
      </c>
      <c r="M321" t="str">
        <f t="shared" ca="1" si="57"/>
        <v>90- 28- 47.226 ECCC</v>
      </c>
      <c r="N321">
        <f t="shared" ca="1" si="58"/>
        <v>23.817146666666666</v>
      </c>
      <c r="O321">
        <f t="shared" ca="1" si="59"/>
        <v>90.479785000000007</v>
      </c>
    </row>
    <row r="322" spans="1:15" x14ac:dyDescent="0.3">
      <c r="A322" t="s">
        <v>2312</v>
      </c>
      <c r="B322" t="str">
        <f t="shared" ref="B322:B385" ca="1" si="60">LEFT(A322,RANDBETWEEN(1,LEN(A322)))</f>
        <v>23- 4</v>
      </c>
      <c r="C322" t="str">
        <f t="shared" ref="C322:C385" ca="1" si="61">SUBSTITUTE(A322,B322,"")</f>
        <v>9- 2.304 N</v>
      </c>
      <c r="D322" t="str">
        <f t="shared" ca="1" si="50"/>
        <v>|||</v>
      </c>
      <c r="E322" t="str">
        <f t="shared" ca="1" si="51"/>
        <v>23- 4|||9- 2.304 N</v>
      </c>
      <c r="F322" t="str">
        <f t="shared" ca="1" si="52"/>
        <v>23- 4|||9- 2.304 N</v>
      </c>
      <c r="H322" t="s">
        <v>2806</v>
      </c>
      <c r="I322" t="str">
        <f t="shared" ca="1" si="53"/>
        <v>90- 29- 22.5</v>
      </c>
      <c r="J322" t="str">
        <f t="shared" ca="1" si="54"/>
        <v>37 E</v>
      </c>
      <c r="K322" t="str">
        <f t="shared" ca="1" si="55"/>
        <v>CCCC</v>
      </c>
      <c r="L322" t="str">
        <f t="shared" ca="1" si="56"/>
        <v>90- 29- 22.5CCCC37 E</v>
      </c>
      <c r="M322" t="str">
        <f t="shared" ca="1" si="57"/>
        <v>90- 29- 22.5CCCC37 E</v>
      </c>
      <c r="N322">
        <f t="shared" ca="1" si="58"/>
        <v>23.817306666666667</v>
      </c>
      <c r="O322">
        <f t="shared" ca="1" si="59"/>
        <v>90.489593611111118</v>
      </c>
    </row>
    <row r="323" spans="1:15" x14ac:dyDescent="0.3">
      <c r="A323" t="s">
        <v>2313</v>
      </c>
      <c r="B323" t="str">
        <f t="shared" ca="1" si="60"/>
        <v>23- 49- 2.8</v>
      </c>
      <c r="C323" t="str">
        <f t="shared" ca="1" si="61"/>
        <v>79 N</v>
      </c>
      <c r="D323" t="str">
        <f t="shared" ref="D323:D386" ca="1" si="62">IF(ISERROR(REPT(CHAR(RANDBETWEEN(65,128)),RANDBETWEEN(1,5))),"ee",(REPT(CHAR(RANDBETWEEN(65,128)),RANDBETWEEN(1,5))))</f>
        <v>ooo</v>
      </c>
      <c r="E323" t="str">
        <f t="shared" ref="E323:E386" ca="1" si="63">B323&amp;D323&amp;C323</f>
        <v>23- 49- 2.8ooo79 N</v>
      </c>
      <c r="F323" t="str">
        <f t="shared" ref="F323:F386" ca="1" si="64">E323</f>
        <v>23- 49- 2.8ooo79 N</v>
      </c>
      <c r="H323" t="s">
        <v>2807</v>
      </c>
      <c r="I323" t="str">
        <f t="shared" ref="I323:I386" ca="1" si="65">LEFT(H323,RANDBETWEEN(1,LEN(H323)))</f>
        <v>90- 29</v>
      </c>
      <c r="J323" t="str">
        <f t="shared" ref="J323:J386" ca="1" si="66">SUBSTITUTE(H323,I323,"")</f>
        <v>- 57.848 E</v>
      </c>
      <c r="K323" t="str">
        <f t="shared" ref="K323:K386" ca="1" si="67">IF(ISERROR(REPT(CHAR(RANDBETWEEN(65,128)),RANDBETWEEN(1,5))),"ee",(REPT(CHAR(RANDBETWEEN(65,128)),RANDBETWEEN(1,5))))</f>
        <v>PPPP</v>
      </c>
      <c r="L323" t="str">
        <f t="shared" ref="L323:L386" ca="1" si="68">I323&amp;K323&amp;J323</f>
        <v>90- 29PPPP- 57.848 E</v>
      </c>
      <c r="M323" t="str">
        <f t="shared" ref="M323:M386" ca="1" si="69">L323</f>
        <v>90- 29PPPP- 57.848 E</v>
      </c>
      <c r="N323">
        <f t="shared" ref="N323:N386" ca="1" si="70">DecimalDegreesConverter(F323,,,"-")</f>
        <v>23.817466388888889</v>
      </c>
      <c r="O323">
        <f t="shared" ref="O323:O386" ca="1" si="71">DecimalDegreesConverter(M323,,,"-")</f>
        <v>90.49940222222223</v>
      </c>
    </row>
    <row r="324" spans="1:15" x14ac:dyDescent="0.3">
      <c r="A324" t="s">
        <v>2314</v>
      </c>
      <c r="B324" t="str">
        <f t="shared" ca="1" si="60"/>
        <v>23- 49-</v>
      </c>
      <c r="C324" t="str">
        <f t="shared" ca="1" si="61"/>
        <v xml:space="preserve"> 3.450 N</v>
      </c>
      <c r="D324" t="str">
        <f t="shared" ca="1" si="62"/>
        <v>~~~</v>
      </c>
      <c r="E324" t="str">
        <f t="shared" ca="1" si="63"/>
        <v>23- 49-~~~ 3.450 N</v>
      </c>
      <c r="F324" t="str">
        <f t="shared" ca="1" si="64"/>
        <v>23- 49-~~~ 3.450 N</v>
      </c>
      <c r="H324" t="s">
        <v>2808</v>
      </c>
      <c r="I324" t="str">
        <f t="shared" ca="1" si="65"/>
        <v>90- 30</v>
      </c>
      <c r="J324" t="str">
        <f t="shared" ca="1" si="66"/>
        <v>- 33.159 E</v>
      </c>
      <c r="K324" t="str">
        <f t="shared" ca="1" si="67"/>
        <v>oo</v>
      </c>
      <c r="L324" t="str">
        <f t="shared" ca="1" si="68"/>
        <v>90- 30oo- 33.159 E</v>
      </c>
      <c r="M324" t="str">
        <f t="shared" ca="1" si="69"/>
        <v>90- 30oo- 33.159 E</v>
      </c>
      <c r="N324">
        <f t="shared" ca="1" si="70"/>
        <v>23.817625</v>
      </c>
      <c r="O324">
        <f t="shared" ca="1" si="71"/>
        <v>90.509210833333327</v>
      </c>
    </row>
    <row r="325" spans="1:15" x14ac:dyDescent="0.3">
      <c r="A325" t="s">
        <v>2315</v>
      </c>
      <c r="B325" t="str">
        <f t="shared" ca="1" si="60"/>
        <v>23-</v>
      </c>
      <c r="C325" t="str">
        <f t="shared" ca="1" si="61"/>
        <v xml:space="preserve"> 49- 25.297 N</v>
      </c>
      <c r="D325" t="str">
        <f t="shared" ca="1" si="62"/>
        <v>JJJ</v>
      </c>
      <c r="E325" t="str">
        <f t="shared" ca="1" si="63"/>
        <v>23-JJJ 49- 25.297 N</v>
      </c>
      <c r="F325" t="str">
        <f t="shared" ca="1" si="64"/>
        <v>23-JJJ 49- 25.297 N</v>
      </c>
      <c r="H325" t="s">
        <v>2809</v>
      </c>
      <c r="I325" t="str">
        <f t="shared" ca="1" si="65"/>
        <v>90</v>
      </c>
      <c r="J325" t="str">
        <f t="shared" ca="1" si="66"/>
        <v>- 19- 56.944 E</v>
      </c>
      <c r="K325" t="str">
        <f t="shared" ca="1" si="67"/>
        <v>aaa</v>
      </c>
      <c r="L325" t="str">
        <f t="shared" ca="1" si="68"/>
        <v>90aaa- 19- 56.944 E</v>
      </c>
      <c r="M325" t="str">
        <f t="shared" ca="1" si="69"/>
        <v>90aaa- 19- 56.944 E</v>
      </c>
      <c r="N325">
        <f t="shared" ca="1" si="70"/>
        <v>23.823693611111111</v>
      </c>
      <c r="O325">
        <f t="shared" ca="1" si="71"/>
        <v>90.332484444444447</v>
      </c>
    </row>
    <row r="326" spans="1:15" x14ac:dyDescent="0.3">
      <c r="A326" t="s">
        <v>2316</v>
      </c>
      <c r="B326" t="str">
        <f t="shared" ca="1" si="60"/>
        <v>23- 49- 25.907 N</v>
      </c>
      <c r="C326" t="str">
        <f t="shared" ca="1" si="61"/>
        <v/>
      </c>
      <c r="D326" t="str">
        <f t="shared" ca="1" si="62"/>
        <v>GGG</v>
      </c>
      <c r="E326" t="str">
        <f t="shared" ca="1" si="63"/>
        <v>23- 49- 25.907 NGGG</v>
      </c>
      <c r="F326" t="str">
        <f t="shared" ca="1" si="64"/>
        <v>23- 49- 25.907 NGGG</v>
      </c>
      <c r="H326" t="s">
        <v>2810</v>
      </c>
      <c r="I326" t="str">
        <f t="shared" ca="1" si="65"/>
        <v xml:space="preserve">90- </v>
      </c>
      <c r="J326" t="str">
        <f t="shared" ca="1" si="66"/>
        <v>20- 32.252 E</v>
      </c>
      <c r="K326" t="str">
        <f t="shared" ca="1" si="67"/>
        <v>fffff</v>
      </c>
      <c r="L326" t="str">
        <f t="shared" ca="1" si="68"/>
        <v>90- fffff20- 32.252 E</v>
      </c>
      <c r="M326" t="str">
        <f t="shared" ca="1" si="69"/>
        <v>90- fffff20- 32.252 E</v>
      </c>
      <c r="N326">
        <f t="shared" ca="1" si="70"/>
        <v>23.823863055555556</v>
      </c>
      <c r="O326">
        <f t="shared" ca="1" si="71"/>
        <v>90.342292222222213</v>
      </c>
    </row>
    <row r="327" spans="1:15" x14ac:dyDescent="0.3">
      <c r="A327" t="s">
        <v>2317</v>
      </c>
      <c r="B327" t="str">
        <f t="shared" ca="1" si="60"/>
        <v xml:space="preserve">23- 49- 26.515 </v>
      </c>
      <c r="C327" t="str">
        <f t="shared" ca="1" si="61"/>
        <v>N</v>
      </c>
      <c r="D327" t="str">
        <f t="shared" ca="1" si="62"/>
        <v>uuuuu</v>
      </c>
      <c r="E327" t="str">
        <f t="shared" ca="1" si="63"/>
        <v>23- 49- 26.515 uuuuuN</v>
      </c>
      <c r="F327" t="str">
        <f t="shared" ca="1" si="64"/>
        <v>23- 49- 26.515 uuuuuN</v>
      </c>
      <c r="H327" t="s">
        <v>2811</v>
      </c>
      <c r="I327" t="str">
        <f t="shared" ca="1" si="65"/>
        <v>9</v>
      </c>
      <c r="J327" t="str">
        <f t="shared" ca="1" si="66"/>
        <v>0- 21- 7.560 E</v>
      </c>
      <c r="K327" t="str">
        <f t="shared" ca="1" si="67"/>
        <v>DDDD</v>
      </c>
      <c r="L327" t="str">
        <f t="shared" ca="1" si="68"/>
        <v>9DDDD0- 21- 7.560 E</v>
      </c>
      <c r="M327" t="str">
        <f t="shared" ca="1" si="69"/>
        <v>9DDDD0- 21- 7.560 E</v>
      </c>
      <c r="N327">
        <f t="shared" ca="1" si="70"/>
        <v>23.824031944444446</v>
      </c>
      <c r="O327">
        <f t="shared" ca="1" si="71"/>
        <v>90.352099999999993</v>
      </c>
    </row>
    <row r="328" spans="1:15" x14ac:dyDescent="0.3">
      <c r="A328" t="s">
        <v>2318</v>
      </c>
      <c r="B328" t="str">
        <f t="shared" ca="1" si="60"/>
        <v>23- 4</v>
      </c>
      <c r="C328" t="str">
        <f t="shared" ca="1" si="61"/>
        <v>9- 27.120 N</v>
      </c>
      <c r="D328" t="str">
        <f t="shared" ca="1" si="62"/>
        <v>€</v>
      </c>
      <c r="E328" t="str">
        <f t="shared" ca="1" si="63"/>
        <v>23- 4€9- 27.120 N</v>
      </c>
      <c r="F328" t="str">
        <f t="shared" ca="1" si="64"/>
        <v>23- 4€9- 27.120 N</v>
      </c>
      <c r="H328" t="s">
        <v>2812</v>
      </c>
      <c r="I328" t="str">
        <f t="shared" ca="1" si="65"/>
        <v>90- 21- 42.8</v>
      </c>
      <c r="J328" t="str">
        <f t="shared" ca="1" si="66"/>
        <v>69 E</v>
      </c>
      <c r="K328" t="str">
        <f t="shared" ca="1" si="67"/>
        <v>€€€</v>
      </c>
      <c r="L328" t="str">
        <f t="shared" ca="1" si="68"/>
        <v>90- 21- 42.8€€€69 E</v>
      </c>
      <c r="M328" t="str">
        <f t="shared" ca="1" si="69"/>
        <v>90- 21- 42.8€€€69 E</v>
      </c>
      <c r="N328">
        <f t="shared" ca="1" si="70"/>
        <v>23.824200000000001</v>
      </c>
      <c r="O328">
        <f t="shared" ca="1" si="71"/>
        <v>90.361908055555546</v>
      </c>
    </row>
    <row r="329" spans="1:15" x14ac:dyDescent="0.3">
      <c r="A329" t="s">
        <v>2319</v>
      </c>
      <c r="B329" t="str">
        <f t="shared" ca="1" si="60"/>
        <v>23- 49- 2</v>
      </c>
      <c r="C329" t="str">
        <f t="shared" ca="1" si="61"/>
        <v>7.724 N</v>
      </c>
      <c r="D329" t="str">
        <f t="shared" ca="1" si="62"/>
        <v>|||||</v>
      </c>
      <c r="E329" t="str">
        <f t="shared" ca="1" si="63"/>
        <v>23- 49- 2|||||7.724 N</v>
      </c>
      <c r="F329" t="str">
        <f t="shared" ca="1" si="64"/>
        <v>23- 49- 2|||||7.724 N</v>
      </c>
      <c r="H329" t="s">
        <v>2813</v>
      </c>
      <c r="I329" t="str">
        <f t="shared" ca="1" si="65"/>
        <v>90- 22- 18.178 E</v>
      </c>
      <c r="J329" t="str">
        <f t="shared" ca="1" si="66"/>
        <v/>
      </c>
      <c r="K329" t="str">
        <f t="shared" ca="1" si="67"/>
        <v>CCCCC</v>
      </c>
      <c r="L329" t="str">
        <f t="shared" ca="1" si="68"/>
        <v>90- 22- 18.178 ECCCCC</v>
      </c>
      <c r="M329" t="str">
        <f t="shared" ca="1" si="69"/>
        <v>90- 22- 18.178 ECCCCC</v>
      </c>
      <c r="N329">
        <f t="shared" ca="1" si="70"/>
        <v>23.824367777777777</v>
      </c>
      <c r="O329">
        <f t="shared" ca="1" si="71"/>
        <v>90.371716111111098</v>
      </c>
    </row>
    <row r="330" spans="1:15" x14ac:dyDescent="0.3">
      <c r="A330" t="s">
        <v>2320</v>
      </c>
      <c r="B330" t="str">
        <f t="shared" ca="1" si="60"/>
        <v>23- 49</v>
      </c>
      <c r="C330" t="str">
        <f t="shared" ca="1" si="61"/>
        <v>- 28.325 N</v>
      </c>
      <c r="D330" t="str">
        <f t="shared" ca="1" si="62"/>
        <v>HHHHH</v>
      </c>
      <c r="E330" t="str">
        <f t="shared" ca="1" si="63"/>
        <v>23- 49HHHHH- 28.325 N</v>
      </c>
      <c r="F330" t="str">
        <f t="shared" ca="1" si="64"/>
        <v>23- 49HHHHH- 28.325 N</v>
      </c>
      <c r="H330" t="s">
        <v>2814</v>
      </c>
      <c r="I330" t="str">
        <f t="shared" ca="1" si="65"/>
        <v xml:space="preserve">90- 22- </v>
      </c>
      <c r="J330" t="str">
        <f t="shared" ca="1" si="66"/>
        <v>53.487 E</v>
      </c>
      <c r="K330" t="str">
        <f t="shared" ca="1" si="67"/>
        <v>^^^</v>
      </c>
      <c r="L330" t="str">
        <f t="shared" ca="1" si="68"/>
        <v>90- 22- ^^^53.487 E</v>
      </c>
      <c r="M330" t="str">
        <f t="shared" ca="1" si="69"/>
        <v>90- 22- ^^^53.487 E</v>
      </c>
      <c r="N330">
        <f t="shared" ca="1" si="70"/>
        <v>23.824534722222221</v>
      </c>
      <c r="O330">
        <f t="shared" ca="1" si="71"/>
        <v>90.381524166666665</v>
      </c>
    </row>
    <row r="331" spans="1:15" x14ac:dyDescent="0.3">
      <c r="A331" t="s">
        <v>2321</v>
      </c>
      <c r="B331" t="str">
        <f t="shared" ca="1" si="60"/>
        <v xml:space="preserve">23- 49- 28.924 </v>
      </c>
      <c r="C331" t="str">
        <f t="shared" ca="1" si="61"/>
        <v>N</v>
      </c>
      <c r="D331" t="str">
        <f t="shared" ca="1" si="62"/>
        <v>hhh</v>
      </c>
      <c r="E331" t="str">
        <f t="shared" ca="1" si="63"/>
        <v>23- 49- 28.924 hhhN</v>
      </c>
      <c r="F331" t="str">
        <f t="shared" ca="1" si="64"/>
        <v>23- 49- 28.924 hhhN</v>
      </c>
      <c r="H331" t="s">
        <v>2815</v>
      </c>
      <c r="I331" t="str">
        <f t="shared" ca="1" si="65"/>
        <v>9</v>
      </c>
      <c r="J331" t="str">
        <f t="shared" ca="1" si="66"/>
        <v>0- 23- 28.77 E</v>
      </c>
      <c r="K331" t="str">
        <f t="shared" ca="1" si="67"/>
        <v>JJJJJ</v>
      </c>
      <c r="L331" t="str">
        <f t="shared" ca="1" si="68"/>
        <v>9JJJJJ0- 23- 28.77 E</v>
      </c>
      <c r="M331" t="str">
        <f t="shared" ca="1" si="69"/>
        <v>9JJJJJ0- 23- 28.77 E</v>
      </c>
      <c r="N331">
        <f t="shared" ca="1" si="70"/>
        <v>23.824701111111111</v>
      </c>
      <c r="O331">
        <f t="shared" ca="1" si="71"/>
        <v>90.391325000000009</v>
      </c>
    </row>
    <row r="332" spans="1:15" x14ac:dyDescent="0.3">
      <c r="A332" t="s">
        <v>2322</v>
      </c>
      <c r="B332" t="str">
        <f t="shared" ca="1" si="60"/>
        <v>23- 4</v>
      </c>
      <c r="C332" t="str">
        <f t="shared" ca="1" si="61"/>
        <v>9- 29.521 N</v>
      </c>
      <c r="D332" t="str">
        <f t="shared" ca="1" si="62"/>
        <v>LLLLL</v>
      </c>
      <c r="E332" t="str">
        <f t="shared" ca="1" si="63"/>
        <v>23- 4LLLLL9- 29.521 N</v>
      </c>
      <c r="F332" t="str">
        <f t="shared" ca="1" si="64"/>
        <v>23- 4LLLLL9- 29.521 N</v>
      </c>
      <c r="H332" t="s">
        <v>2816</v>
      </c>
      <c r="I332" t="str">
        <f t="shared" ca="1" si="65"/>
        <v>90- 24- 4.107 E</v>
      </c>
      <c r="J332" t="str">
        <f t="shared" ca="1" si="66"/>
        <v/>
      </c>
      <c r="K332" t="str">
        <f t="shared" ca="1" si="67"/>
        <v>KKK</v>
      </c>
      <c r="L332" t="str">
        <f t="shared" ca="1" si="68"/>
        <v>90- 24- 4.107 EKKK</v>
      </c>
      <c r="M332" t="str">
        <f t="shared" ca="1" si="69"/>
        <v>90- 24- 4.107 EKKK</v>
      </c>
      <c r="N332">
        <f t="shared" ca="1" si="70"/>
        <v>23.824866944444445</v>
      </c>
      <c r="O332">
        <f t="shared" ca="1" si="71"/>
        <v>90.401140833333343</v>
      </c>
    </row>
    <row r="333" spans="1:15" x14ac:dyDescent="0.3">
      <c r="A333" t="s">
        <v>2323</v>
      </c>
      <c r="B333" t="str">
        <f t="shared" ca="1" si="60"/>
        <v>23- 49- 30.11</v>
      </c>
      <c r="C333" t="str">
        <f t="shared" ca="1" si="61"/>
        <v>5 N</v>
      </c>
      <c r="D333" t="str">
        <f t="shared" ca="1" si="62"/>
        <v>YYY</v>
      </c>
      <c r="E333" t="str">
        <f t="shared" ca="1" si="63"/>
        <v>23- 49- 30.11YYY5 N</v>
      </c>
      <c r="F333" t="str">
        <f t="shared" ca="1" si="64"/>
        <v>23- 49- 30.11YYY5 N</v>
      </c>
      <c r="H333" t="s">
        <v>2817</v>
      </c>
      <c r="I333" t="str">
        <f t="shared" ca="1" si="65"/>
        <v>90- 24- 3</v>
      </c>
      <c r="J333" t="str">
        <f t="shared" ca="1" si="66"/>
        <v>9.417 E</v>
      </c>
      <c r="K333" t="str">
        <f t="shared" ca="1" si="67"/>
        <v>^</v>
      </c>
      <c r="L333" t="str">
        <f t="shared" ca="1" si="68"/>
        <v>90- 24- 3^9.417 E</v>
      </c>
      <c r="M333" t="str">
        <f t="shared" ca="1" si="69"/>
        <v>90- 24- 3^9.417 E</v>
      </c>
      <c r="N333">
        <f t="shared" ca="1" si="70"/>
        <v>23.825031944444444</v>
      </c>
      <c r="O333">
        <f t="shared" ca="1" si="71"/>
        <v>90.410949166666668</v>
      </c>
    </row>
    <row r="334" spans="1:15" x14ac:dyDescent="0.3">
      <c r="A334" t="s">
        <v>2324</v>
      </c>
      <c r="B334" t="str">
        <f t="shared" ca="1" si="60"/>
        <v xml:space="preserve">23- 49- </v>
      </c>
      <c r="C334" t="str">
        <f t="shared" ca="1" si="61"/>
        <v>30.707 N</v>
      </c>
      <c r="D334" t="str">
        <f t="shared" ca="1" si="62"/>
        <v>cc</v>
      </c>
      <c r="E334" t="str">
        <f t="shared" ca="1" si="63"/>
        <v>23- 49- cc30.707 N</v>
      </c>
      <c r="F334" t="str">
        <f t="shared" ca="1" si="64"/>
        <v>23- 49- cc30.707 N</v>
      </c>
      <c r="H334" t="s">
        <v>2818</v>
      </c>
      <c r="I334" t="str">
        <f t="shared" ca="1" si="65"/>
        <v>90- 25- 14.728 E</v>
      </c>
      <c r="J334" t="str">
        <f t="shared" ca="1" si="66"/>
        <v/>
      </c>
      <c r="K334" t="str">
        <f t="shared" ca="1" si="67"/>
        <v>OOOOO</v>
      </c>
      <c r="L334" t="str">
        <f t="shared" ca="1" si="68"/>
        <v>90- 25- 14.728 EOOOOO</v>
      </c>
      <c r="M334" t="str">
        <f t="shared" ca="1" si="69"/>
        <v>90- 25- 14.728 EOOOOO</v>
      </c>
      <c r="N334">
        <f t="shared" ca="1" si="70"/>
        <v>23.825196388888887</v>
      </c>
      <c r="O334">
        <f t="shared" ca="1" si="71"/>
        <v>90.42075777777778</v>
      </c>
    </row>
    <row r="335" spans="1:15" x14ac:dyDescent="0.3">
      <c r="A335" t="s">
        <v>2325</v>
      </c>
      <c r="B335" t="str">
        <f t="shared" ca="1" si="60"/>
        <v>23-</v>
      </c>
      <c r="C335" t="str">
        <f t="shared" ca="1" si="61"/>
        <v xml:space="preserve"> 49- 31.297 N</v>
      </c>
      <c r="D335" t="str">
        <f t="shared" ca="1" si="62"/>
        <v>GGGGG</v>
      </c>
      <c r="E335" t="str">
        <f t="shared" ca="1" si="63"/>
        <v>23-GGGGG 49- 31.297 N</v>
      </c>
      <c r="F335" t="str">
        <f t="shared" ca="1" si="64"/>
        <v>23-GGGGG 49- 31.297 N</v>
      </c>
      <c r="H335" t="s">
        <v>2819</v>
      </c>
      <c r="I335" t="str">
        <f t="shared" ca="1" si="65"/>
        <v>90- 25-</v>
      </c>
      <c r="J335" t="str">
        <f t="shared" ca="1" si="66"/>
        <v xml:space="preserve"> 50.039 E</v>
      </c>
      <c r="K335" t="str">
        <f t="shared" ca="1" si="67"/>
        <v>R</v>
      </c>
      <c r="L335" t="str">
        <f t="shared" ca="1" si="68"/>
        <v>90- 25-R 50.039 E</v>
      </c>
      <c r="M335" t="str">
        <f t="shared" ca="1" si="69"/>
        <v>90- 25-R 50.039 E</v>
      </c>
      <c r="N335">
        <f t="shared" ca="1" si="70"/>
        <v>23.825360277777779</v>
      </c>
      <c r="O335">
        <f t="shared" ca="1" si="71"/>
        <v>90.430566388888892</v>
      </c>
    </row>
    <row r="336" spans="1:15" x14ac:dyDescent="0.3">
      <c r="A336" t="s">
        <v>2326</v>
      </c>
      <c r="B336" t="str">
        <f t="shared" ca="1" si="60"/>
        <v>23- 4</v>
      </c>
      <c r="C336" t="str">
        <f t="shared" ca="1" si="61"/>
        <v>9- 31.885 N</v>
      </c>
      <c r="D336" t="str">
        <f t="shared" ca="1" si="62"/>
        <v>d</v>
      </c>
      <c r="E336" t="str">
        <f t="shared" ca="1" si="63"/>
        <v>23- 4d9- 31.885 N</v>
      </c>
      <c r="F336" t="str">
        <f t="shared" ca="1" si="64"/>
        <v>23- 4d9- 31.885 N</v>
      </c>
      <c r="H336" t="s">
        <v>2820</v>
      </c>
      <c r="I336" t="str">
        <f t="shared" ca="1" si="65"/>
        <v>90</v>
      </c>
      <c r="J336" t="str">
        <f t="shared" ca="1" si="66"/>
        <v>- 26- 25.350 E</v>
      </c>
      <c r="K336" t="str">
        <f t="shared" ca="1" si="67"/>
        <v>kkk</v>
      </c>
      <c r="L336" t="str">
        <f t="shared" ca="1" si="68"/>
        <v>90kkk- 26- 25.350 E</v>
      </c>
      <c r="M336" t="str">
        <f t="shared" ca="1" si="69"/>
        <v>90kkk- 26- 25.350 E</v>
      </c>
      <c r="N336">
        <f t="shared" ca="1" si="70"/>
        <v>23.825523611111112</v>
      </c>
      <c r="O336">
        <f t="shared" ca="1" si="71"/>
        <v>90.440375000000003</v>
      </c>
    </row>
    <row r="337" spans="1:15" x14ac:dyDescent="0.3">
      <c r="A337" t="s">
        <v>2327</v>
      </c>
      <c r="B337" t="str">
        <f t="shared" ca="1" si="60"/>
        <v>23-</v>
      </c>
      <c r="C337" t="str">
        <f t="shared" ca="1" si="61"/>
        <v xml:space="preserve"> 49- 32.471 N</v>
      </c>
      <c r="D337" t="str">
        <f t="shared" ca="1" si="62"/>
        <v>PPPPP</v>
      </c>
      <c r="E337" t="str">
        <f t="shared" ca="1" si="63"/>
        <v>23-PPPPP 49- 32.471 N</v>
      </c>
      <c r="F337" t="str">
        <f t="shared" ca="1" si="64"/>
        <v>23-PPPPP 49- 32.471 N</v>
      </c>
      <c r="H337" t="s">
        <v>2821</v>
      </c>
      <c r="I337" t="str">
        <f t="shared" ca="1" si="65"/>
        <v xml:space="preserve">90- 27- 0.662 </v>
      </c>
      <c r="J337" t="str">
        <f t="shared" ca="1" si="66"/>
        <v>E</v>
      </c>
      <c r="K337" t="str">
        <f t="shared" ca="1" si="67"/>
        <v>BBBB</v>
      </c>
      <c r="L337" t="str">
        <f t="shared" ca="1" si="68"/>
        <v>90- 27- 0.662 BBBBE</v>
      </c>
      <c r="M337" t="str">
        <f t="shared" ca="1" si="69"/>
        <v>90- 27- 0.662 BBBBE</v>
      </c>
      <c r="N337">
        <f t="shared" ca="1" si="70"/>
        <v>23.82568638888889</v>
      </c>
      <c r="O337">
        <f t="shared" ca="1" si="71"/>
        <v>90.450183888888887</v>
      </c>
    </row>
    <row r="338" spans="1:15" x14ac:dyDescent="0.3">
      <c r="A338" t="s">
        <v>2328</v>
      </c>
      <c r="B338" t="str">
        <f t="shared" ca="1" si="60"/>
        <v>2</v>
      </c>
      <c r="C338" t="str">
        <f t="shared" ca="1" si="61"/>
        <v>3- 49- 33.054 N</v>
      </c>
      <c r="D338" t="str">
        <f t="shared" ca="1" si="62"/>
        <v>}}}}}</v>
      </c>
      <c r="E338" t="str">
        <f t="shared" ca="1" si="63"/>
        <v>2}}}}}3- 49- 33.054 N</v>
      </c>
      <c r="F338" t="str">
        <f t="shared" ca="1" si="64"/>
        <v>2}}}}}3- 49- 33.054 N</v>
      </c>
      <c r="H338" t="s">
        <v>2822</v>
      </c>
      <c r="I338" t="str">
        <f t="shared" ca="1" si="65"/>
        <v>90- 27- 35.974 E</v>
      </c>
      <c r="J338" t="str">
        <f t="shared" ca="1" si="66"/>
        <v/>
      </c>
      <c r="K338" t="str">
        <f t="shared" ca="1" si="67"/>
        <v>ppp</v>
      </c>
      <c r="L338" t="str">
        <f t="shared" ca="1" si="68"/>
        <v>90- 27- 35.974 Eppp</v>
      </c>
      <c r="M338" t="str">
        <f t="shared" ca="1" si="69"/>
        <v>90- 27- 35.974 Eppp</v>
      </c>
      <c r="N338">
        <f t="shared" ca="1" si="70"/>
        <v>23.825848333333333</v>
      </c>
      <c r="O338">
        <f t="shared" ca="1" si="71"/>
        <v>90.459992777777785</v>
      </c>
    </row>
    <row r="339" spans="1:15" x14ac:dyDescent="0.3">
      <c r="A339" t="s">
        <v>2329</v>
      </c>
      <c r="B339" t="str">
        <f t="shared" ca="1" si="60"/>
        <v>2</v>
      </c>
      <c r="C339" t="str">
        <f t="shared" ca="1" si="61"/>
        <v>3- 49- 33.635 N</v>
      </c>
      <c r="D339" t="str">
        <f t="shared" ca="1" si="62"/>
        <v>GGGG</v>
      </c>
      <c r="E339" t="str">
        <f t="shared" ca="1" si="63"/>
        <v>2GGGG3- 49- 33.635 N</v>
      </c>
      <c r="F339" t="str">
        <f t="shared" ca="1" si="64"/>
        <v>2GGGG3- 49- 33.635 N</v>
      </c>
      <c r="H339" t="s">
        <v>2823</v>
      </c>
      <c r="I339" t="str">
        <f t="shared" ca="1" si="65"/>
        <v xml:space="preserve">90- 28- 11.286 </v>
      </c>
      <c r="J339" t="str">
        <f t="shared" ca="1" si="66"/>
        <v>E</v>
      </c>
      <c r="K339" t="str">
        <f t="shared" ca="1" si="67"/>
        <v>AAAA</v>
      </c>
      <c r="L339" t="str">
        <f t="shared" ca="1" si="68"/>
        <v>90- 28- 11.286 AAAAE</v>
      </c>
      <c r="M339" t="str">
        <f t="shared" ca="1" si="69"/>
        <v>90- 28- 11.286 AAAAE</v>
      </c>
      <c r="N339">
        <f t="shared" ca="1" si="70"/>
        <v>23.826009722222221</v>
      </c>
      <c r="O339">
        <f t="shared" ca="1" si="71"/>
        <v>90.469801666666669</v>
      </c>
    </row>
    <row r="340" spans="1:15" x14ac:dyDescent="0.3">
      <c r="A340" t="s">
        <v>2330</v>
      </c>
      <c r="B340" t="str">
        <f t="shared" ca="1" si="60"/>
        <v>23- 49- 34.2</v>
      </c>
      <c r="C340" t="str">
        <f t="shared" ca="1" si="61"/>
        <v>14 N</v>
      </c>
      <c r="D340" t="str">
        <f t="shared" ca="1" si="62"/>
        <v>xxxxx</v>
      </c>
      <c r="E340" t="str">
        <f t="shared" ca="1" si="63"/>
        <v>23- 49- 34.2xxxxx14 N</v>
      </c>
      <c r="F340" t="str">
        <f t="shared" ca="1" si="64"/>
        <v>23- 49- 34.2xxxxx14 N</v>
      </c>
      <c r="H340" t="s">
        <v>2824</v>
      </c>
      <c r="I340" t="str">
        <f t="shared" ca="1" si="65"/>
        <v>90- 28- 46.599</v>
      </c>
      <c r="J340" t="str">
        <f t="shared" ca="1" si="66"/>
        <v xml:space="preserve"> E</v>
      </c>
      <c r="K340" t="str">
        <f t="shared" ca="1" si="67"/>
        <v>€</v>
      </c>
      <c r="L340" t="str">
        <f t="shared" ca="1" si="68"/>
        <v>90- 28- 46.599€ E</v>
      </c>
      <c r="M340" t="str">
        <f t="shared" ca="1" si="69"/>
        <v>90- 28- 46.599€ E</v>
      </c>
      <c r="N340">
        <f t="shared" ca="1" si="70"/>
        <v>23.826170555555557</v>
      </c>
      <c r="O340">
        <f t="shared" ca="1" si="71"/>
        <v>90.479610833333339</v>
      </c>
    </row>
    <row r="341" spans="1:15" x14ac:dyDescent="0.3">
      <c r="A341" t="s">
        <v>2331</v>
      </c>
      <c r="B341" t="str">
        <f t="shared" ca="1" si="60"/>
        <v>23- 49- 34.</v>
      </c>
      <c r="C341" t="str">
        <f t="shared" ca="1" si="61"/>
        <v>790 N</v>
      </c>
      <c r="D341" t="str">
        <f t="shared" ca="1" si="62"/>
        <v>mm</v>
      </c>
      <c r="E341" t="str">
        <f t="shared" ca="1" si="63"/>
        <v>23- 49- 34.mm790 N</v>
      </c>
      <c r="F341" t="str">
        <f t="shared" ca="1" si="64"/>
        <v>23- 49- 34.mm790 N</v>
      </c>
      <c r="H341" t="s">
        <v>2825</v>
      </c>
      <c r="I341" t="str">
        <f t="shared" ca="1" si="65"/>
        <v>9</v>
      </c>
      <c r="J341" t="str">
        <f t="shared" ca="1" si="66"/>
        <v>0- 2- 21.12 E</v>
      </c>
      <c r="K341" t="str">
        <f t="shared" ca="1" si="67"/>
        <v>PPPP</v>
      </c>
      <c r="L341" t="str">
        <f t="shared" ca="1" si="68"/>
        <v>9PPPP0- 2- 21.12 E</v>
      </c>
      <c r="M341" t="str">
        <f t="shared" ca="1" si="69"/>
        <v>9PPPP0- 2- 21.12 E</v>
      </c>
      <c r="N341">
        <f t="shared" ca="1" si="70"/>
        <v>23.826330555555554</v>
      </c>
      <c r="O341">
        <f t="shared" ca="1" si="71"/>
        <v>90.039199999999994</v>
      </c>
    </row>
    <row r="342" spans="1:15" x14ac:dyDescent="0.3">
      <c r="A342" t="s">
        <v>2332</v>
      </c>
      <c r="B342" t="str">
        <f t="shared" ca="1" si="60"/>
        <v>23- 49- 35.</v>
      </c>
      <c r="C342" t="str">
        <f t="shared" ca="1" si="61"/>
        <v>364 N</v>
      </c>
      <c r="D342" t="str">
        <f t="shared" ca="1" si="62"/>
        <v>ee</v>
      </c>
      <c r="E342" t="str">
        <f t="shared" ca="1" si="63"/>
        <v>23- 49- 35.ee364 N</v>
      </c>
      <c r="F342" t="str">
        <f t="shared" ca="1" si="64"/>
        <v>23- 49- 35.ee364 N</v>
      </c>
      <c r="H342" t="s">
        <v>2826</v>
      </c>
      <c r="I342" t="str">
        <f t="shared" ca="1" si="65"/>
        <v>90- 29- 57.225 E</v>
      </c>
      <c r="J342" t="str">
        <f t="shared" ca="1" si="66"/>
        <v/>
      </c>
      <c r="K342" t="str">
        <f t="shared" ca="1" si="67"/>
        <v>MMMMM</v>
      </c>
      <c r="L342" t="str">
        <f t="shared" ca="1" si="68"/>
        <v>90- 29- 57.225 EMMMMM</v>
      </c>
      <c r="M342" t="str">
        <f t="shared" ca="1" si="69"/>
        <v>90- 29- 57.225 EMMMMM</v>
      </c>
      <c r="N342">
        <f t="shared" ca="1" si="70"/>
        <v>23.82649</v>
      </c>
      <c r="O342">
        <f t="shared" ca="1" si="71"/>
        <v>90.499229166666666</v>
      </c>
    </row>
    <row r="343" spans="1:15" x14ac:dyDescent="0.3">
      <c r="A343" t="s">
        <v>2333</v>
      </c>
      <c r="B343" t="str">
        <f t="shared" ca="1" si="60"/>
        <v>23- 49- 35.9</v>
      </c>
      <c r="C343" t="str">
        <f t="shared" ca="1" si="61"/>
        <v>36 N</v>
      </c>
      <c r="D343" t="str">
        <f t="shared" ca="1" si="62"/>
        <v>hhh</v>
      </c>
      <c r="E343" t="str">
        <f t="shared" ca="1" si="63"/>
        <v>23- 49- 35.9hhh36 N</v>
      </c>
      <c r="F343" t="str">
        <f t="shared" ca="1" si="64"/>
        <v>23- 49- 35.9hhh36 N</v>
      </c>
      <c r="H343" t="s">
        <v>2827</v>
      </c>
      <c r="I343" t="str">
        <f t="shared" ca="1" si="65"/>
        <v>90- 30- 32</v>
      </c>
      <c r="J343" t="str">
        <f t="shared" ca="1" si="66"/>
        <v>.538 E</v>
      </c>
      <c r="K343" t="str">
        <f t="shared" ca="1" si="67"/>
        <v>lllll</v>
      </c>
      <c r="L343" t="str">
        <f t="shared" ca="1" si="68"/>
        <v>90- 30- 32lllll.538 E</v>
      </c>
      <c r="M343" t="str">
        <f t="shared" ca="1" si="69"/>
        <v>90- 30- 32lllll.538 E</v>
      </c>
      <c r="N343">
        <f t="shared" ca="1" si="70"/>
        <v>23.82664888888889</v>
      </c>
      <c r="O343">
        <f t="shared" ca="1" si="71"/>
        <v>90.509038333333336</v>
      </c>
    </row>
    <row r="344" spans="1:15" x14ac:dyDescent="0.3">
      <c r="A344" t="s">
        <v>2334</v>
      </c>
      <c r="B344" t="str">
        <f t="shared" ca="1" si="60"/>
        <v>23- 49- 57.7</v>
      </c>
      <c r="C344" t="str">
        <f t="shared" ca="1" si="61"/>
        <v>78 N</v>
      </c>
      <c r="D344" t="str">
        <f t="shared" ca="1" si="62"/>
        <v>h</v>
      </c>
      <c r="E344" t="str">
        <f t="shared" ca="1" si="63"/>
        <v>23- 49- 57.7h78 N</v>
      </c>
      <c r="F344" t="str">
        <f t="shared" ca="1" si="64"/>
        <v>23- 49- 57.7h78 N</v>
      </c>
      <c r="H344" t="s">
        <v>2828</v>
      </c>
      <c r="I344" t="str">
        <f t="shared" ca="1" si="65"/>
        <v>90- 19- 5</v>
      </c>
      <c r="J344" t="str">
        <f t="shared" ca="1" si="66"/>
        <v>6.279 E</v>
      </c>
      <c r="K344" t="str">
        <f t="shared" ca="1" si="67"/>
        <v>wwww</v>
      </c>
      <c r="L344" t="str">
        <f t="shared" ca="1" si="68"/>
        <v>90- 19- 5wwww6.279 E</v>
      </c>
      <c r="M344" t="str">
        <f t="shared" ca="1" si="69"/>
        <v>90- 19- 5wwww6.279 E</v>
      </c>
      <c r="N344">
        <f t="shared" ca="1" si="70"/>
        <v>23.832716111111111</v>
      </c>
      <c r="O344">
        <f t="shared" ca="1" si="71"/>
        <v>90.332299722222217</v>
      </c>
    </row>
    <row r="345" spans="1:15" x14ac:dyDescent="0.3">
      <c r="A345" t="s">
        <v>2335</v>
      </c>
      <c r="B345" t="str">
        <f t="shared" ca="1" si="60"/>
        <v>23-</v>
      </c>
      <c r="C345" t="str">
        <f t="shared" ca="1" si="61"/>
        <v xml:space="preserve"> 49- 58.389 N</v>
      </c>
      <c r="D345" t="str">
        <f t="shared" ca="1" si="62"/>
        <v>DDDDD</v>
      </c>
      <c r="E345" t="str">
        <f t="shared" ca="1" si="63"/>
        <v>23-DDDDD 49- 58.389 N</v>
      </c>
      <c r="F345" t="str">
        <f t="shared" ca="1" si="64"/>
        <v>23-DDDDD 49- 58.389 N</v>
      </c>
      <c r="H345" t="s">
        <v>2829</v>
      </c>
      <c r="I345" t="str">
        <f t="shared" ca="1" si="65"/>
        <v xml:space="preserve">90- 20- 31.590 </v>
      </c>
      <c r="J345" t="str">
        <f t="shared" ca="1" si="66"/>
        <v>E</v>
      </c>
      <c r="K345" t="str">
        <f t="shared" ca="1" si="67"/>
        <v>GGG</v>
      </c>
      <c r="L345" t="str">
        <f t="shared" ca="1" si="68"/>
        <v>90- 20- 31.590 GGGE</v>
      </c>
      <c r="M345" t="str">
        <f t="shared" ca="1" si="69"/>
        <v>90- 20- 31.590 GGGE</v>
      </c>
      <c r="N345">
        <f t="shared" ca="1" si="70"/>
        <v>23.832885833333332</v>
      </c>
      <c r="O345">
        <f t="shared" ca="1" si="71"/>
        <v>90.342108333333329</v>
      </c>
    </row>
    <row r="346" spans="1:15" x14ac:dyDescent="0.3">
      <c r="A346" t="s">
        <v>2336</v>
      </c>
      <c r="B346" t="str">
        <f t="shared" ca="1" si="60"/>
        <v>23- 49- 58.997 N</v>
      </c>
      <c r="C346" t="str">
        <f t="shared" ca="1" si="61"/>
        <v/>
      </c>
      <c r="D346" t="str">
        <f t="shared" ca="1" si="62"/>
        <v>WWWWW</v>
      </c>
      <c r="E346" t="str">
        <f t="shared" ca="1" si="63"/>
        <v>23- 49- 58.997 NWWWWW</v>
      </c>
      <c r="F346" t="str">
        <f t="shared" ca="1" si="64"/>
        <v>23- 49- 58.997 NWWWWW</v>
      </c>
      <c r="H346" t="s">
        <v>2830</v>
      </c>
      <c r="I346" t="str">
        <f t="shared" ca="1" si="65"/>
        <v xml:space="preserve">90- </v>
      </c>
      <c r="J346" t="str">
        <f t="shared" ca="1" si="66"/>
        <v>21- 6.901 E</v>
      </c>
      <c r="K346" t="str">
        <f t="shared" ca="1" si="67"/>
        <v>qqqq</v>
      </c>
      <c r="L346" t="str">
        <f t="shared" ca="1" si="68"/>
        <v>90- qqqq21- 6.901 E</v>
      </c>
      <c r="M346" t="str">
        <f t="shared" ca="1" si="69"/>
        <v>90- qqqq21- 6.901 E</v>
      </c>
      <c r="N346">
        <f t="shared" ca="1" si="70"/>
        <v>23.833054722222222</v>
      </c>
      <c r="O346">
        <f t="shared" ca="1" si="71"/>
        <v>90.35191694444444</v>
      </c>
    </row>
    <row r="347" spans="1:15" x14ac:dyDescent="0.3">
      <c r="A347" t="s">
        <v>2337</v>
      </c>
      <c r="B347" t="str">
        <f t="shared" ca="1" si="60"/>
        <v>23- 49-</v>
      </c>
      <c r="C347" t="str">
        <f t="shared" ca="1" si="61"/>
        <v xml:space="preserve"> 59.603 N</v>
      </c>
      <c r="D347" t="str">
        <f t="shared" ca="1" si="62"/>
        <v>hh</v>
      </c>
      <c r="E347" t="str">
        <f t="shared" ca="1" si="63"/>
        <v>23- 49-hh 59.603 N</v>
      </c>
      <c r="F347" t="str">
        <f t="shared" ca="1" si="64"/>
        <v>23- 49-hh 59.603 N</v>
      </c>
      <c r="H347" t="s">
        <v>2831</v>
      </c>
      <c r="I347" t="str">
        <f t="shared" ca="1" si="65"/>
        <v>90</v>
      </c>
      <c r="J347" t="str">
        <f t="shared" ca="1" si="66"/>
        <v>- 21- 42.212 E</v>
      </c>
      <c r="K347" t="str">
        <f t="shared" ca="1" si="67"/>
        <v>w</v>
      </c>
      <c r="L347" t="str">
        <f t="shared" ca="1" si="68"/>
        <v>90w- 21- 42.212 E</v>
      </c>
      <c r="M347" t="str">
        <f t="shared" ca="1" si="69"/>
        <v>90w- 21- 42.212 E</v>
      </c>
      <c r="N347">
        <f t="shared" ca="1" si="70"/>
        <v>23.833223055555557</v>
      </c>
      <c r="O347">
        <f t="shared" ca="1" si="71"/>
        <v>90.361725555555552</v>
      </c>
    </row>
    <row r="348" spans="1:15" x14ac:dyDescent="0.3">
      <c r="A348" t="s">
        <v>2338</v>
      </c>
      <c r="B348" t="str">
        <f t="shared" ca="1" si="60"/>
        <v>23- 50- 0.</v>
      </c>
      <c r="C348" t="str">
        <f t="shared" ca="1" si="61"/>
        <v>206 N</v>
      </c>
      <c r="D348" t="str">
        <f t="shared" ca="1" si="62"/>
        <v>n</v>
      </c>
      <c r="E348" t="str">
        <f t="shared" ca="1" si="63"/>
        <v>23- 50- 0.n206 N</v>
      </c>
      <c r="F348" t="str">
        <f t="shared" ca="1" si="64"/>
        <v>23- 50- 0.n206 N</v>
      </c>
      <c r="H348" t="s">
        <v>2832</v>
      </c>
      <c r="I348" t="str">
        <f t="shared" ca="1" si="65"/>
        <v>90- 22-</v>
      </c>
      <c r="J348" t="str">
        <f t="shared" ca="1" si="66"/>
        <v xml:space="preserve"> 17.523 E</v>
      </c>
      <c r="K348" t="str">
        <f t="shared" ca="1" si="67"/>
        <v>aaaa</v>
      </c>
      <c r="L348" t="str">
        <f t="shared" ca="1" si="68"/>
        <v>90- 22-aaaa 17.523 E</v>
      </c>
      <c r="M348" t="str">
        <f t="shared" ca="1" si="69"/>
        <v>90- 22-aaaa 17.523 E</v>
      </c>
      <c r="N348">
        <f t="shared" ca="1" si="70"/>
        <v>23.833390555555553</v>
      </c>
      <c r="O348">
        <f t="shared" ca="1" si="71"/>
        <v>90.371534166666663</v>
      </c>
    </row>
    <row r="349" spans="1:15" x14ac:dyDescent="0.3">
      <c r="A349" t="s">
        <v>2339</v>
      </c>
      <c r="B349" t="str">
        <f t="shared" ca="1" si="60"/>
        <v>2</v>
      </c>
      <c r="C349" t="str">
        <f t="shared" ca="1" si="61"/>
        <v>3- 50- 0.808 N</v>
      </c>
      <c r="D349" t="str">
        <f t="shared" ca="1" si="62"/>
        <v>EEE</v>
      </c>
      <c r="E349" t="str">
        <f t="shared" ca="1" si="63"/>
        <v>2EEE3- 50- 0.808 N</v>
      </c>
      <c r="F349" t="str">
        <f t="shared" ca="1" si="64"/>
        <v>2EEE3- 50- 0.808 N</v>
      </c>
      <c r="H349" t="s">
        <v>2833</v>
      </c>
      <c r="I349" t="str">
        <f t="shared" ca="1" si="65"/>
        <v>90- 22- 52.835</v>
      </c>
      <c r="J349" t="str">
        <f t="shared" ca="1" si="66"/>
        <v xml:space="preserve"> E</v>
      </c>
      <c r="K349" t="str">
        <f t="shared" ca="1" si="67"/>
        <v>B</v>
      </c>
      <c r="L349" t="str">
        <f t="shared" ca="1" si="68"/>
        <v>90- 22- 52.835B E</v>
      </c>
      <c r="M349" t="str">
        <f t="shared" ca="1" si="69"/>
        <v>90- 22- 52.835B E</v>
      </c>
      <c r="N349">
        <f t="shared" ca="1" si="70"/>
        <v>23.833557777777777</v>
      </c>
      <c r="O349">
        <f t="shared" ca="1" si="71"/>
        <v>90.381343055555547</v>
      </c>
    </row>
    <row r="350" spans="1:15" x14ac:dyDescent="0.3">
      <c r="A350" t="s">
        <v>2340</v>
      </c>
      <c r="B350" t="str">
        <f t="shared" ca="1" si="60"/>
        <v>23</v>
      </c>
      <c r="C350" t="str">
        <f t="shared" ca="1" si="61"/>
        <v>- 50- 1.407 N</v>
      </c>
      <c r="D350" t="str">
        <f t="shared" ca="1" si="62"/>
        <v>}}}}}</v>
      </c>
      <c r="E350" t="str">
        <f t="shared" ca="1" si="63"/>
        <v>23}}}}}- 50- 1.407 N</v>
      </c>
      <c r="F350" t="str">
        <f t="shared" ca="1" si="64"/>
        <v>23}}}}}- 50- 1.407 N</v>
      </c>
      <c r="H350" t="s">
        <v>2834</v>
      </c>
      <c r="I350" t="str">
        <f t="shared" ca="1" si="65"/>
        <v>90- 23- 28.147</v>
      </c>
      <c r="J350" t="str">
        <f t="shared" ca="1" si="66"/>
        <v xml:space="preserve"> E</v>
      </c>
      <c r="K350" t="str">
        <f t="shared" ca="1" si="67"/>
        <v>vvv</v>
      </c>
      <c r="L350" t="str">
        <f t="shared" ca="1" si="68"/>
        <v>90- 23- 28.147vvv E</v>
      </c>
      <c r="M350" t="str">
        <f t="shared" ca="1" si="69"/>
        <v>90- 23- 28.147vvv E</v>
      </c>
      <c r="N350">
        <f t="shared" ca="1" si="70"/>
        <v>23.833724166666666</v>
      </c>
      <c r="O350">
        <f t="shared" ca="1" si="71"/>
        <v>90.391151944444445</v>
      </c>
    </row>
    <row r="351" spans="1:15" x14ac:dyDescent="0.3">
      <c r="A351" t="s">
        <v>2341</v>
      </c>
      <c r="B351" t="str">
        <f t="shared" ca="1" si="60"/>
        <v xml:space="preserve">23- 50- </v>
      </c>
      <c r="C351" t="str">
        <f t="shared" ca="1" si="61"/>
        <v>2.004 N</v>
      </c>
      <c r="D351" t="str">
        <f t="shared" ca="1" si="62"/>
        <v>i</v>
      </c>
      <c r="E351" t="str">
        <f t="shared" ca="1" si="63"/>
        <v>23- 50- i2.004 N</v>
      </c>
      <c r="F351" t="str">
        <f t="shared" ca="1" si="64"/>
        <v>23- 50- i2.004 N</v>
      </c>
      <c r="H351" t="s">
        <v>2835</v>
      </c>
      <c r="I351" t="str">
        <f t="shared" ca="1" si="65"/>
        <v>90- 24- 3.460 E</v>
      </c>
      <c r="J351" t="str">
        <f t="shared" ca="1" si="66"/>
        <v/>
      </c>
      <c r="K351" t="str">
        <f t="shared" ca="1" si="67"/>
        <v>EEEEE</v>
      </c>
      <c r="L351" t="str">
        <f t="shared" ca="1" si="68"/>
        <v>90- 24- 3.460 EEEEEE</v>
      </c>
      <c r="M351" t="str">
        <f t="shared" ca="1" si="69"/>
        <v>90- 24- 3.460 EEEEEE</v>
      </c>
      <c r="N351">
        <f t="shared" ca="1" si="70"/>
        <v>23.83389</v>
      </c>
      <c r="O351">
        <f t="shared" ca="1" si="71"/>
        <v>90.400961111111116</v>
      </c>
    </row>
    <row r="352" spans="1:15" x14ac:dyDescent="0.3">
      <c r="A352" t="s">
        <v>2342</v>
      </c>
      <c r="B352" t="str">
        <f t="shared" ca="1" si="60"/>
        <v>23- 50-</v>
      </c>
      <c r="C352" t="str">
        <f t="shared" ca="1" si="61"/>
        <v xml:space="preserve"> 2.599 N</v>
      </c>
      <c r="D352" t="str">
        <f t="shared" ca="1" si="62"/>
        <v>`````</v>
      </c>
      <c r="E352" t="str">
        <f t="shared" ca="1" si="63"/>
        <v>23- 50-````` 2.599 N</v>
      </c>
      <c r="F352" t="str">
        <f t="shared" ca="1" si="64"/>
        <v>23- 50-````` 2.599 N</v>
      </c>
      <c r="H352" t="s">
        <v>2836</v>
      </c>
      <c r="I352" t="str">
        <f t="shared" ca="1" si="65"/>
        <v>90- 24- 38.772</v>
      </c>
      <c r="J352" t="str">
        <f t="shared" ca="1" si="66"/>
        <v xml:space="preserve"> E</v>
      </c>
      <c r="K352" t="str">
        <f t="shared" ca="1" si="67"/>
        <v>LLL</v>
      </c>
      <c r="L352" t="str">
        <f t="shared" ca="1" si="68"/>
        <v>90- 24- 38.772LLL E</v>
      </c>
      <c r="M352" t="str">
        <f t="shared" ca="1" si="69"/>
        <v>90- 24- 38.772LLL E</v>
      </c>
      <c r="N352">
        <f t="shared" ca="1" si="70"/>
        <v>23.834055277777775</v>
      </c>
      <c r="O352">
        <f t="shared" ca="1" si="71"/>
        <v>90.410769999999999</v>
      </c>
    </row>
    <row r="353" spans="1:15" x14ac:dyDescent="0.3">
      <c r="A353" t="s">
        <v>2343</v>
      </c>
      <c r="B353" t="str">
        <f t="shared" ca="1" si="60"/>
        <v>23- 50- 3.191</v>
      </c>
      <c r="C353" t="str">
        <f t="shared" ca="1" si="61"/>
        <v xml:space="preserve"> N</v>
      </c>
      <c r="D353" t="str">
        <f t="shared" ca="1" si="62"/>
        <v>ZZ</v>
      </c>
      <c r="E353" t="str">
        <f t="shared" ca="1" si="63"/>
        <v>23- 50- 3.191ZZ N</v>
      </c>
      <c r="F353" t="str">
        <f t="shared" ca="1" si="64"/>
        <v>23- 50- 3.191ZZ N</v>
      </c>
      <c r="H353" t="s">
        <v>2837</v>
      </c>
      <c r="I353" t="str">
        <f t="shared" ca="1" si="65"/>
        <v xml:space="preserve">90- 25- 14.085 </v>
      </c>
      <c r="J353" t="str">
        <f t="shared" ca="1" si="66"/>
        <v>E</v>
      </c>
      <c r="K353" t="str">
        <f t="shared" ca="1" si="67"/>
        <v>WWWW</v>
      </c>
      <c r="L353" t="str">
        <f t="shared" ca="1" si="68"/>
        <v>90- 25- 14.085 WWWWE</v>
      </c>
      <c r="M353" t="str">
        <f t="shared" ca="1" si="69"/>
        <v>90- 25- 14.085 WWWWE</v>
      </c>
      <c r="N353">
        <f t="shared" ca="1" si="70"/>
        <v>23.834219722222223</v>
      </c>
      <c r="O353">
        <f t="shared" ca="1" si="71"/>
        <v>90.42057916666667</v>
      </c>
    </row>
    <row r="354" spans="1:15" x14ac:dyDescent="0.3">
      <c r="A354" t="s">
        <v>2344</v>
      </c>
      <c r="B354" t="str">
        <f t="shared" ca="1" si="60"/>
        <v>23- 50-</v>
      </c>
      <c r="C354" t="str">
        <f t="shared" ca="1" si="61"/>
        <v xml:space="preserve"> 3.781 N</v>
      </c>
      <c r="D354" t="str">
        <f t="shared" ca="1" si="62"/>
        <v>EEE</v>
      </c>
      <c r="E354" t="str">
        <f t="shared" ca="1" si="63"/>
        <v>23- 50-EEE 3.781 N</v>
      </c>
      <c r="F354" t="str">
        <f t="shared" ca="1" si="64"/>
        <v>23- 50-EEE 3.781 N</v>
      </c>
      <c r="H354" t="s">
        <v>2838</v>
      </c>
      <c r="I354" t="str">
        <f t="shared" ca="1" si="65"/>
        <v>90- 25- 49</v>
      </c>
      <c r="J354" t="str">
        <f t="shared" ca="1" si="66"/>
        <v>.399 E</v>
      </c>
      <c r="K354" t="str">
        <f t="shared" ca="1" si="67"/>
        <v>JJJJJ</v>
      </c>
      <c r="L354" t="str">
        <f t="shared" ca="1" si="68"/>
        <v>90- 25- 49JJJJJ.399 E</v>
      </c>
      <c r="M354" t="str">
        <f t="shared" ca="1" si="69"/>
        <v>90- 25- 49JJJJJ.399 E</v>
      </c>
      <c r="N354">
        <f t="shared" ca="1" si="70"/>
        <v>23.834383611111111</v>
      </c>
      <c r="O354">
        <f t="shared" ca="1" si="71"/>
        <v>90.430388611111113</v>
      </c>
    </row>
    <row r="355" spans="1:15" x14ac:dyDescent="0.3">
      <c r="A355" t="s">
        <v>2345</v>
      </c>
      <c r="B355" t="str">
        <f t="shared" ca="1" si="60"/>
        <v>23- 50- 4</v>
      </c>
      <c r="C355" t="str">
        <f t="shared" ca="1" si="61"/>
        <v>.369 N</v>
      </c>
      <c r="D355" t="str">
        <f t="shared" ca="1" si="62"/>
        <v>UU</v>
      </c>
      <c r="E355" t="str">
        <f t="shared" ca="1" si="63"/>
        <v>23- 50- 4UU.369 N</v>
      </c>
      <c r="F355" t="str">
        <f t="shared" ca="1" si="64"/>
        <v>23- 50- 4UU.369 N</v>
      </c>
      <c r="H355" t="s">
        <v>2839</v>
      </c>
      <c r="I355" t="str">
        <f t="shared" ca="1" si="65"/>
        <v>90- 26- 2</v>
      </c>
      <c r="J355" t="str">
        <f t="shared" ca="1" si="66"/>
        <v>4.713 E</v>
      </c>
      <c r="K355" t="str">
        <f t="shared" ca="1" si="67"/>
        <v>EEE</v>
      </c>
      <c r="L355" t="str">
        <f t="shared" ca="1" si="68"/>
        <v>90- 26- 2EEE4.713 E</v>
      </c>
      <c r="M355" t="str">
        <f t="shared" ca="1" si="69"/>
        <v>90- 26- 2EEE4.713 E</v>
      </c>
      <c r="N355">
        <f t="shared" ca="1" si="70"/>
        <v>23.834546944444444</v>
      </c>
      <c r="O355">
        <f t="shared" ca="1" si="71"/>
        <v>90.440198055555555</v>
      </c>
    </row>
    <row r="356" spans="1:15" x14ac:dyDescent="0.3">
      <c r="A356" t="s">
        <v>2346</v>
      </c>
      <c r="B356" t="str">
        <f t="shared" ca="1" si="60"/>
        <v>23- 50- 4.9</v>
      </c>
      <c r="C356" t="str">
        <f t="shared" ca="1" si="61"/>
        <v>55 N</v>
      </c>
      <c r="D356" t="str">
        <f t="shared" ca="1" si="62"/>
        <v>j</v>
      </c>
      <c r="E356" t="str">
        <f t="shared" ca="1" si="63"/>
        <v>23- 50- 4.9j55 N</v>
      </c>
      <c r="F356" t="str">
        <f t="shared" ca="1" si="64"/>
        <v>23- 50- 4.9j55 N</v>
      </c>
      <c r="H356" t="s">
        <v>2840</v>
      </c>
      <c r="I356" t="str">
        <f t="shared" ca="1" si="65"/>
        <v>90- 27- 0.0</v>
      </c>
      <c r="J356" t="str">
        <f t="shared" ca="1" si="66"/>
        <v>27 E</v>
      </c>
      <c r="K356" t="str">
        <f t="shared" ca="1" si="67"/>
        <v></v>
      </c>
      <c r="L356" t="str">
        <f t="shared" ca="1" si="68"/>
        <v>90- 27- 0.027 E</v>
      </c>
      <c r="M356" t="str">
        <f t="shared" ca="1" si="69"/>
        <v>90- 27- 0.027 E</v>
      </c>
      <c r="N356">
        <f t="shared" ca="1" si="70"/>
        <v>23.834709722222222</v>
      </c>
      <c r="O356">
        <f t="shared" ca="1" si="71"/>
        <v>90.450007499999998</v>
      </c>
    </row>
    <row r="357" spans="1:15" x14ac:dyDescent="0.3">
      <c r="A357" t="s">
        <v>2347</v>
      </c>
      <c r="B357" t="str">
        <f t="shared" ca="1" si="60"/>
        <v>23- 50- 5.53</v>
      </c>
      <c r="C357" t="str">
        <f t="shared" ca="1" si="61"/>
        <v>9 N</v>
      </c>
      <c r="D357" t="str">
        <f t="shared" ca="1" si="62"/>
        <v>€€€€</v>
      </c>
      <c r="E357" t="str">
        <f t="shared" ca="1" si="63"/>
        <v>23- 50- 5.53€€€€9 N</v>
      </c>
      <c r="F357" t="str">
        <f t="shared" ca="1" si="64"/>
        <v>23- 50- 5.53€€€€9 N</v>
      </c>
      <c r="H357" t="s">
        <v>2841</v>
      </c>
      <c r="I357" t="str">
        <f t="shared" ca="1" si="65"/>
        <v>90- 27- 35.34</v>
      </c>
      <c r="J357" t="str">
        <f t="shared" ca="1" si="66"/>
        <v>1 E</v>
      </c>
      <c r="K357" t="str">
        <f t="shared" ca="1" si="67"/>
        <v>€€</v>
      </c>
      <c r="L357" t="str">
        <f t="shared" ca="1" si="68"/>
        <v>90- 27- 35.34€€1 E</v>
      </c>
      <c r="M357" t="str">
        <f t="shared" ca="1" si="69"/>
        <v>90- 27- 35.34€€1 E</v>
      </c>
      <c r="N357">
        <f t="shared" ca="1" si="70"/>
        <v>23.834871944444444</v>
      </c>
      <c r="O357">
        <f t="shared" ca="1" si="71"/>
        <v>90.459816944444441</v>
      </c>
    </row>
    <row r="358" spans="1:15" x14ac:dyDescent="0.3">
      <c r="A358" t="s">
        <v>2348</v>
      </c>
      <c r="B358" t="str">
        <f t="shared" ca="1" si="60"/>
        <v>23-</v>
      </c>
      <c r="C358" t="str">
        <f t="shared" ca="1" si="61"/>
        <v xml:space="preserve"> 50- 6.120 N</v>
      </c>
      <c r="D358" t="str">
        <f t="shared" ca="1" si="62"/>
        <v>CCC</v>
      </c>
      <c r="E358" t="str">
        <f t="shared" ca="1" si="63"/>
        <v>23-CCC 50- 6.120 N</v>
      </c>
      <c r="F358" t="str">
        <f t="shared" ca="1" si="64"/>
        <v>23-CCC 50- 6.120 N</v>
      </c>
      <c r="H358" t="s">
        <v>2842</v>
      </c>
      <c r="I358" t="str">
        <f t="shared" ca="1" si="65"/>
        <v>90</v>
      </c>
      <c r="J358" t="str">
        <f t="shared" ca="1" si="66"/>
        <v>- 28- 10.656 E</v>
      </c>
      <c r="K358" t="str">
        <f t="shared" ca="1" si="67"/>
        <v>NNNNN</v>
      </c>
      <c r="L358" t="str">
        <f t="shared" ca="1" si="68"/>
        <v>90NNNNN- 28- 10.656 E</v>
      </c>
      <c r="M358" t="str">
        <f t="shared" ca="1" si="69"/>
        <v>90NNNNN- 28- 10.656 E</v>
      </c>
      <c r="N358">
        <f t="shared" ca="1" si="70"/>
        <v>23.835033333333332</v>
      </c>
      <c r="O358">
        <f t="shared" ca="1" si="71"/>
        <v>90.46962666666667</v>
      </c>
    </row>
    <row r="359" spans="1:15" x14ac:dyDescent="0.3">
      <c r="A359" t="s">
        <v>2349</v>
      </c>
      <c r="B359" t="str">
        <f t="shared" ca="1" si="60"/>
        <v xml:space="preserve">23- 50- </v>
      </c>
      <c r="C359" t="str">
        <f t="shared" ca="1" si="61"/>
        <v>6.699 N</v>
      </c>
      <c r="D359" t="str">
        <f t="shared" ca="1" si="62"/>
        <v>}}</v>
      </c>
      <c r="E359" t="str">
        <f t="shared" ca="1" si="63"/>
        <v>23- 50- }}6.699 N</v>
      </c>
      <c r="F359" t="str">
        <f t="shared" ca="1" si="64"/>
        <v>23- 50- }}6.699 N</v>
      </c>
      <c r="H359" t="s">
        <v>2843</v>
      </c>
      <c r="I359" t="str">
        <f t="shared" ca="1" si="65"/>
        <v xml:space="preserve">90- 28- 45.971 </v>
      </c>
      <c r="J359" t="str">
        <f t="shared" ca="1" si="66"/>
        <v>E</v>
      </c>
      <c r="K359" t="str">
        <f t="shared" ca="1" si="67"/>
        <v>CCC</v>
      </c>
      <c r="L359" t="str">
        <f t="shared" ca="1" si="68"/>
        <v>90- 28- 45.971 CCCE</v>
      </c>
      <c r="M359" t="str">
        <f t="shared" ca="1" si="69"/>
        <v>90- 28- 45.971 CCCE</v>
      </c>
      <c r="N359">
        <f t="shared" ca="1" si="70"/>
        <v>23.835194166666664</v>
      </c>
      <c r="O359">
        <f t="shared" ca="1" si="71"/>
        <v>90.479436388888885</v>
      </c>
    </row>
    <row r="360" spans="1:15" x14ac:dyDescent="0.3">
      <c r="A360" t="s">
        <v>2350</v>
      </c>
      <c r="B360" t="str">
        <f t="shared" ca="1" si="60"/>
        <v>23- 50</v>
      </c>
      <c r="C360" t="str">
        <f t="shared" ca="1" si="61"/>
        <v>- 7.276 N</v>
      </c>
      <c r="D360" t="str">
        <f t="shared" ca="1" si="62"/>
        <v>]]]]</v>
      </c>
      <c r="E360" t="str">
        <f t="shared" ca="1" si="63"/>
        <v>23- 50]]]]- 7.276 N</v>
      </c>
      <c r="F360" t="str">
        <f t="shared" ca="1" si="64"/>
        <v>23- 50]]]]- 7.276 N</v>
      </c>
      <c r="H360" t="s">
        <v>2844</v>
      </c>
      <c r="I360" t="str">
        <f t="shared" ca="1" si="65"/>
        <v>90- 29- 21.286</v>
      </c>
      <c r="J360" t="str">
        <f t="shared" ca="1" si="66"/>
        <v xml:space="preserve"> E</v>
      </c>
      <c r="K360" t="str">
        <f t="shared" ca="1" si="67"/>
        <v>}}</v>
      </c>
      <c r="L360" t="str">
        <f t="shared" ca="1" si="68"/>
        <v>90- 29- 21.286}} E</v>
      </c>
      <c r="M360" t="str">
        <f t="shared" ca="1" si="69"/>
        <v>90- 29- 21.286}} E</v>
      </c>
      <c r="N360">
        <f t="shared" ca="1" si="70"/>
        <v>23.835354444444445</v>
      </c>
      <c r="O360">
        <f t="shared" ca="1" si="71"/>
        <v>90.489246111111115</v>
      </c>
    </row>
    <row r="361" spans="1:15" x14ac:dyDescent="0.3">
      <c r="A361" t="s">
        <v>2351</v>
      </c>
      <c r="B361" t="str">
        <f t="shared" ca="1" si="60"/>
        <v>23- 50- 7</v>
      </c>
      <c r="C361" t="str">
        <f t="shared" ca="1" si="61"/>
        <v>.850 N</v>
      </c>
      <c r="D361" t="str">
        <f t="shared" ca="1" si="62"/>
        <v>k</v>
      </c>
      <c r="E361" t="str">
        <f t="shared" ca="1" si="63"/>
        <v>23- 50- 7k.850 N</v>
      </c>
      <c r="F361" t="str">
        <f t="shared" ca="1" si="64"/>
        <v>23- 50- 7k.850 N</v>
      </c>
      <c r="H361" t="s">
        <v>2845</v>
      </c>
      <c r="I361" t="str">
        <f t="shared" ca="1" si="65"/>
        <v>90- 29- 5</v>
      </c>
      <c r="J361" t="str">
        <f t="shared" ca="1" si="66"/>
        <v>6.602 E</v>
      </c>
      <c r="K361" t="str">
        <f t="shared" ca="1" si="67"/>
        <v>v</v>
      </c>
      <c r="L361" t="str">
        <f t="shared" ca="1" si="68"/>
        <v>90- 29- 5v6.602 E</v>
      </c>
      <c r="M361" t="str">
        <f t="shared" ca="1" si="69"/>
        <v>90- 29- 5v6.602 E</v>
      </c>
      <c r="N361">
        <f t="shared" ca="1" si="70"/>
        <v>23.835513888888887</v>
      </c>
      <c r="O361">
        <f t="shared" ca="1" si="71"/>
        <v>90.499056111111116</v>
      </c>
    </row>
    <row r="362" spans="1:15" x14ac:dyDescent="0.3">
      <c r="A362" t="s">
        <v>2352</v>
      </c>
      <c r="B362" t="str">
        <f t="shared" ca="1" si="60"/>
        <v>23-</v>
      </c>
      <c r="C362" t="str">
        <f t="shared" ca="1" si="61"/>
        <v xml:space="preserve"> 50- 8.422 N</v>
      </c>
      <c r="D362" t="str">
        <f t="shared" ca="1" si="62"/>
        <v>EEEE</v>
      </c>
      <c r="E362" t="str">
        <f t="shared" ca="1" si="63"/>
        <v>23-EEEE 50- 8.422 N</v>
      </c>
      <c r="F362" t="str">
        <f t="shared" ca="1" si="64"/>
        <v>23-EEEE 50- 8.422 N</v>
      </c>
      <c r="H362" t="s">
        <v>2846</v>
      </c>
      <c r="I362" t="str">
        <f t="shared" ca="1" si="65"/>
        <v>90- 30- 31.</v>
      </c>
      <c r="J362" t="str">
        <f t="shared" ca="1" si="66"/>
        <v>917 E</v>
      </c>
      <c r="K362" t="str">
        <f t="shared" ca="1" si="67"/>
        <v>ccccc</v>
      </c>
      <c r="L362" t="str">
        <f t="shared" ca="1" si="68"/>
        <v>90- 30- 31.ccccc917 E</v>
      </c>
      <c r="M362" t="str">
        <f t="shared" ca="1" si="69"/>
        <v>90- 30- 31.ccccc917 E</v>
      </c>
      <c r="N362">
        <f t="shared" ca="1" si="70"/>
        <v>23.835672777777777</v>
      </c>
      <c r="O362">
        <f t="shared" ca="1" si="71"/>
        <v>90.508865833333331</v>
      </c>
    </row>
    <row r="363" spans="1:15" x14ac:dyDescent="0.3">
      <c r="A363" t="s">
        <v>2353</v>
      </c>
      <c r="B363" t="str">
        <f t="shared" ca="1" si="60"/>
        <v>23- 50- 30.260 N</v>
      </c>
      <c r="C363" t="str">
        <f t="shared" ca="1" si="61"/>
        <v/>
      </c>
      <c r="D363" t="str">
        <f t="shared" ca="1" si="62"/>
        <v>}</v>
      </c>
      <c r="E363" t="str">
        <f t="shared" ca="1" si="63"/>
        <v>23- 50- 30.260 N}</v>
      </c>
      <c r="F363" t="str">
        <f t="shared" ca="1" si="64"/>
        <v>23- 50- 30.260 N}</v>
      </c>
      <c r="H363" t="s">
        <v>2847</v>
      </c>
      <c r="I363" t="str">
        <f t="shared" ca="1" si="65"/>
        <v>90- 19</v>
      </c>
      <c r="J363" t="str">
        <f t="shared" ca="1" si="66"/>
        <v>- 55.614 E</v>
      </c>
      <c r="K363" t="str">
        <f t="shared" ca="1" si="67"/>
        <v>H</v>
      </c>
      <c r="L363" t="str">
        <f t="shared" ca="1" si="68"/>
        <v>90- 19H- 55.614 E</v>
      </c>
      <c r="M363" t="str">
        <f t="shared" ca="1" si="69"/>
        <v>90- 19H- 55.614 E</v>
      </c>
      <c r="N363">
        <f t="shared" ca="1" si="70"/>
        <v>23.841738888888887</v>
      </c>
      <c r="O363">
        <f t="shared" ca="1" si="71"/>
        <v>90.332115000000002</v>
      </c>
    </row>
    <row r="364" spans="1:15" x14ac:dyDescent="0.3">
      <c r="A364" t="s">
        <v>2354</v>
      </c>
      <c r="B364" t="str">
        <f t="shared" ca="1" si="60"/>
        <v>23- 50- 30</v>
      </c>
      <c r="C364" t="str">
        <f t="shared" ca="1" si="61"/>
        <v>.870 N</v>
      </c>
      <c r="D364" t="str">
        <f t="shared" ca="1" si="62"/>
        <v>ggggg</v>
      </c>
      <c r="E364" t="str">
        <f t="shared" ca="1" si="63"/>
        <v>23- 50- 30ggggg.870 N</v>
      </c>
      <c r="F364" t="str">
        <f t="shared" ca="1" si="64"/>
        <v>23- 50- 30ggggg.870 N</v>
      </c>
      <c r="H364" t="s">
        <v>2848</v>
      </c>
      <c r="I364" t="str">
        <f t="shared" ca="1" si="65"/>
        <v>90-</v>
      </c>
      <c r="J364" t="str">
        <f t="shared" ca="1" si="66"/>
        <v xml:space="preserve"> 20- 30.927 E</v>
      </c>
      <c r="K364" t="str">
        <f t="shared" ca="1" si="67"/>
        <v>T</v>
      </c>
      <c r="L364" t="str">
        <f t="shared" ca="1" si="68"/>
        <v>90-T 20- 30.927 E</v>
      </c>
      <c r="M364" t="str">
        <f t="shared" ca="1" si="69"/>
        <v>90-T 20- 30.927 E</v>
      </c>
      <c r="N364">
        <f t="shared" ca="1" si="70"/>
        <v>23.841908333333333</v>
      </c>
      <c r="O364">
        <f t="shared" ca="1" si="71"/>
        <v>90.341924166666658</v>
      </c>
    </row>
    <row r="365" spans="1:15" x14ac:dyDescent="0.3">
      <c r="A365" t="s">
        <v>2355</v>
      </c>
      <c r="B365" t="str">
        <f t="shared" ca="1" si="60"/>
        <v>23- 50- 31</v>
      </c>
      <c r="C365" t="str">
        <f t="shared" ca="1" si="61"/>
        <v>.479 N</v>
      </c>
      <c r="D365" t="str">
        <f t="shared" ca="1" si="62"/>
        <v>OOO</v>
      </c>
      <c r="E365" t="str">
        <f t="shared" ca="1" si="63"/>
        <v>23- 50- 31OOO.479 N</v>
      </c>
      <c r="F365" t="str">
        <f t="shared" ca="1" si="64"/>
        <v>23- 50- 31OOO.479 N</v>
      </c>
      <c r="H365" t="s">
        <v>2849</v>
      </c>
      <c r="I365" t="str">
        <f t="shared" ca="1" si="65"/>
        <v xml:space="preserve">90- 21- 6.240 </v>
      </c>
      <c r="J365" t="str">
        <f t="shared" ca="1" si="66"/>
        <v>E</v>
      </c>
      <c r="K365" t="str">
        <f t="shared" ca="1" si="67"/>
        <v>L</v>
      </c>
      <c r="L365" t="str">
        <f t="shared" ca="1" si="68"/>
        <v>90- 21- 6.240 LE</v>
      </c>
      <c r="M365" t="str">
        <f t="shared" ca="1" si="69"/>
        <v>90- 21- 6.240 LE</v>
      </c>
      <c r="N365">
        <f t="shared" ca="1" si="70"/>
        <v>23.842077499999998</v>
      </c>
      <c r="O365">
        <f t="shared" ca="1" si="71"/>
        <v>90.351733333333328</v>
      </c>
    </row>
    <row r="366" spans="1:15" x14ac:dyDescent="0.3">
      <c r="A366" t="s">
        <v>2356</v>
      </c>
      <c r="B366" t="str">
        <f t="shared" ca="1" si="60"/>
        <v>23</v>
      </c>
      <c r="C366" t="str">
        <f t="shared" ca="1" si="61"/>
        <v>- 50- 32.085 N</v>
      </c>
      <c r="D366" t="str">
        <f t="shared" ca="1" si="62"/>
        <v>wwww</v>
      </c>
      <c r="E366" t="str">
        <f t="shared" ca="1" si="63"/>
        <v>23wwww- 50- 32.085 N</v>
      </c>
      <c r="F366" t="str">
        <f t="shared" ca="1" si="64"/>
        <v>23wwww- 50- 32.085 N</v>
      </c>
      <c r="H366" t="s">
        <v>2850</v>
      </c>
      <c r="I366" t="str">
        <f t="shared" ca="1" si="65"/>
        <v>90- 21- 41.</v>
      </c>
      <c r="J366" t="str">
        <f t="shared" ca="1" si="66"/>
        <v>554 E</v>
      </c>
      <c r="K366" t="str">
        <f t="shared" ca="1" si="67"/>
        <v>_</v>
      </c>
      <c r="L366" t="str">
        <f t="shared" ca="1" si="68"/>
        <v>90- 21- 41._554 E</v>
      </c>
      <c r="M366" t="str">
        <f t="shared" ca="1" si="69"/>
        <v>90- 21- 41._554 E</v>
      </c>
      <c r="N366">
        <f t="shared" ca="1" si="70"/>
        <v>23.842245833333333</v>
      </c>
      <c r="O366">
        <f t="shared" ca="1" si="71"/>
        <v>90.361542777777771</v>
      </c>
    </row>
    <row r="367" spans="1:15" x14ac:dyDescent="0.3">
      <c r="A367" t="s">
        <v>2357</v>
      </c>
      <c r="B367" t="str">
        <f t="shared" ca="1" si="60"/>
        <v>23- 50- 32.6</v>
      </c>
      <c r="C367" t="str">
        <f t="shared" ca="1" si="61"/>
        <v>89 N</v>
      </c>
      <c r="D367" t="str">
        <f t="shared" ca="1" si="62"/>
        <v>I</v>
      </c>
      <c r="E367" t="str">
        <f t="shared" ca="1" si="63"/>
        <v>23- 50- 32.6I89 N</v>
      </c>
      <c r="F367" t="str">
        <f t="shared" ca="1" si="64"/>
        <v>23- 50- 32.6I89 N</v>
      </c>
      <c r="H367" t="s">
        <v>2851</v>
      </c>
      <c r="I367" t="str">
        <f t="shared" ca="1" si="65"/>
        <v>90-</v>
      </c>
      <c r="J367" t="str">
        <f t="shared" ca="1" si="66"/>
        <v xml:space="preserve"> 22- 16.868 E</v>
      </c>
      <c r="K367" t="str">
        <f t="shared" ca="1" si="67"/>
        <v>vv</v>
      </c>
      <c r="L367" t="str">
        <f t="shared" ca="1" si="68"/>
        <v>90-vv 22- 16.868 E</v>
      </c>
      <c r="M367" t="str">
        <f t="shared" ca="1" si="69"/>
        <v>90-vv 22- 16.868 E</v>
      </c>
      <c r="N367">
        <f t="shared" ca="1" si="70"/>
        <v>23.842413611111109</v>
      </c>
      <c r="O367">
        <f t="shared" ca="1" si="71"/>
        <v>90.371352222222214</v>
      </c>
    </row>
    <row r="368" spans="1:15" x14ac:dyDescent="0.3">
      <c r="A368" t="s">
        <v>2358</v>
      </c>
      <c r="B368" t="str">
        <f t="shared" ca="1" si="60"/>
        <v xml:space="preserve">23- </v>
      </c>
      <c r="C368" t="str">
        <f t="shared" ca="1" si="61"/>
        <v>50- 33.291 N</v>
      </c>
      <c r="D368" t="str">
        <f t="shared" ca="1" si="62"/>
        <v>ddddd</v>
      </c>
      <c r="E368" t="str">
        <f t="shared" ca="1" si="63"/>
        <v>23- ddddd50- 33.291 N</v>
      </c>
      <c r="F368" t="str">
        <f t="shared" ca="1" si="64"/>
        <v>23- ddddd50- 33.291 N</v>
      </c>
      <c r="H368" t="s">
        <v>2852</v>
      </c>
      <c r="I368" t="str">
        <f t="shared" ca="1" si="65"/>
        <v>90- 22- 52.</v>
      </c>
      <c r="J368" t="str">
        <f t="shared" ca="1" si="66"/>
        <v>182 E</v>
      </c>
      <c r="K368" t="str">
        <f t="shared" ca="1" si="67"/>
        <v>^^^</v>
      </c>
      <c r="L368" t="str">
        <f t="shared" ca="1" si="68"/>
        <v>90- 22- 52.^^^182 E</v>
      </c>
      <c r="M368" t="str">
        <f t="shared" ca="1" si="69"/>
        <v>90- 22- 52.^^^182 E</v>
      </c>
      <c r="N368">
        <f t="shared" ca="1" si="70"/>
        <v>23.842580833333333</v>
      </c>
      <c r="O368">
        <f t="shared" ca="1" si="71"/>
        <v>90.381161666666657</v>
      </c>
    </row>
    <row r="369" spans="1:15" x14ac:dyDescent="0.3">
      <c r="A369" t="s">
        <v>2359</v>
      </c>
      <c r="B369" t="str">
        <f t="shared" ca="1" si="60"/>
        <v>23- 50- 33</v>
      </c>
      <c r="C369" t="str">
        <f t="shared" ca="1" si="61"/>
        <v>.890 N</v>
      </c>
      <c r="D369" t="str">
        <f t="shared" ca="1" si="62"/>
        <v>FFF</v>
      </c>
      <c r="E369" t="str">
        <f t="shared" ca="1" si="63"/>
        <v>23- 50- 33FFF.890 N</v>
      </c>
      <c r="F369" t="str">
        <f t="shared" ca="1" si="64"/>
        <v>23- 50- 33FFF.890 N</v>
      </c>
      <c r="H369" t="s">
        <v>2853</v>
      </c>
      <c r="I369" t="str">
        <f t="shared" ca="1" si="65"/>
        <v>90- 23- 2</v>
      </c>
      <c r="J369" t="str">
        <f t="shared" ca="1" si="66"/>
        <v>7.497 E</v>
      </c>
      <c r="K369" t="str">
        <f t="shared" ca="1" si="67"/>
        <v>€€€€</v>
      </c>
      <c r="L369" t="str">
        <f t="shared" ca="1" si="68"/>
        <v>90- 23- 2€€€€7.497 E</v>
      </c>
      <c r="M369" t="str">
        <f t="shared" ca="1" si="69"/>
        <v>90- 23- 2€€€€7.497 E</v>
      </c>
      <c r="N369">
        <f t="shared" ca="1" si="70"/>
        <v>23.842747222222222</v>
      </c>
      <c r="O369">
        <f t="shared" ca="1" si="71"/>
        <v>90.3909713888889</v>
      </c>
    </row>
    <row r="370" spans="1:15" x14ac:dyDescent="0.3">
      <c r="A370" t="s">
        <v>2360</v>
      </c>
      <c r="B370" t="str">
        <f t="shared" ca="1" si="60"/>
        <v>23</v>
      </c>
      <c r="C370" t="str">
        <f t="shared" ca="1" si="61"/>
        <v>- 50- 34.487 N</v>
      </c>
      <c r="D370" t="str">
        <f t="shared" ca="1" si="62"/>
        <v>eeeee</v>
      </c>
      <c r="E370" t="str">
        <f t="shared" ca="1" si="63"/>
        <v>23eeeee- 50- 34.487 N</v>
      </c>
      <c r="F370" t="str">
        <f t="shared" ca="1" si="64"/>
        <v>23eeeee- 50- 34.487 N</v>
      </c>
      <c r="H370" t="s">
        <v>2854</v>
      </c>
      <c r="I370" t="str">
        <f t="shared" ca="1" si="65"/>
        <v>90- 24</v>
      </c>
      <c r="J370" t="str">
        <f t="shared" ca="1" si="66"/>
        <v>- 2.812 E</v>
      </c>
      <c r="K370" t="str">
        <f t="shared" ca="1" si="67"/>
        <v>}</v>
      </c>
      <c r="L370" t="str">
        <f t="shared" ca="1" si="68"/>
        <v>90- 24}- 2.812 E</v>
      </c>
      <c r="M370" t="str">
        <f t="shared" ca="1" si="69"/>
        <v>90- 24}- 2.812 E</v>
      </c>
      <c r="N370">
        <f t="shared" ca="1" si="70"/>
        <v>23.842913055555556</v>
      </c>
      <c r="O370">
        <f t="shared" ca="1" si="71"/>
        <v>90.400781111111115</v>
      </c>
    </row>
    <row r="371" spans="1:15" x14ac:dyDescent="0.3">
      <c r="A371" t="s">
        <v>2361</v>
      </c>
      <c r="B371" t="str">
        <f t="shared" ca="1" si="60"/>
        <v>23- 50- 35.082 N</v>
      </c>
      <c r="C371" t="str">
        <f t="shared" ca="1" si="61"/>
        <v/>
      </c>
      <c r="D371" t="str">
        <f t="shared" ca="1" si="62"/>
        <v>KKKK</v>
      </c>
      <c r="E371" t="str">
        <f t="shared" ca="1" si="63"/>
        <v>23- 50- 35.082 NKKKK</v>
      </c>
      <c r="F371" t="str">
        <f t="shared" ca="1" si="64"/>
        <v>23- 50- 35.082 NKKKK</v>
      </c>
      <c r="H371" t="s">
        <v>2855</v>
      </c>
      <c r="I371" t="str">
        <f t="shared" ca="1" si="65"/>
        <v xml:space="preserve">90- 24- 38.127 </v>
      </c>
      <c r="J371" t="str">
        <f t="shared" ca="1" si="66"/>
        <v>E</v>
      </c>
      <c r="K371" t="str">
        <f t="shared" ca="1" si="67"/>
        <v>]]</v>
      </c>
      <c r="L371" t="str">
        <f t="shared" ca="1" si="68"/>
        <v>90- 24- 38.127 ]]E</v>
      </c>
      <c r="M371" t="str">
        <f t="shared" ca="1" si="69"/>
        <v>90- 24- 38.127 ]]E</v>
      </c>
      <c r="N371">
        <f t="shared" ca="1" si="70"/>
        <v>23.843078333333331</v>
      </c>
      <c r="O371">
        <f t="shared" ca="1" si="71"/>
        <v>90.410590833333345</v>
      </c>
    </row>
    <row r="372" spans="1:15" x14ac:dyDescent="0.3">
      <c r="A372" t="s">
        <v>2362</v>
      </c>
      <c r="B372" t="str">
        <f t="shared" ca="1" si="60"/>
        <v>23- 50- 35.67</v>
      </c>
      <c r="C372" t="str">
        <f t="shared" ca="1" si="61"/>
        <v>5 N</v>
      </c>
      <c r="D372" t="str">
        <f t="shared" ca="1" si="62"/>
        <v>|</v>
      </c>
      <c r="E372" t="str">
        <f t="shared" ca="1" si="63"/>
        <v>23- 50- 35.67|5 N</v>
      </c>
      <c r="F372" t="str">
        <f t="shared" ca="1" si="64"/>
        <v>23- 50- 35.67|5 N</v>
      </c>
      <c r="H372" t="s">
        <v>2856</v>
      </c>
      <c r="I372" t="str">
        <f t="shared" ca="1" si="65"/>
        <v>90- 25- 1</v>
      </c>
      <c r="J372" t="str">
        <f t="shared" ca="1" si="66"/>
        <v>3.442 E</v>
      </c>
      <c r="K372" t="str">
        <f t="shared" ca="1" si="67"/>
        <v>i</v>
      </c>
      <c r="L372" t="str">
        <f t="shared" ca="1" si="68"/>
        <v>90- 25- 1i3.442 E</v>
      </c>
      <c r="M372" t="str">
        <f t="shared" ca="1" si="69"/>
        <v>90- 25- 1i3.442 E</v>
      </c>
      <c r="N372">
        <f t="shared" ca="1" si="70"/>
        <v>23.843243055555554</v>
      </c>
      <c r="O372">
        <f t="shared" ca="1" si="71"/>
        <v>90.42040055555556</v>
      </c>
    </row>
    <row r="373" spans="1:15" x14ac:dyDescent="0.3">
      <c r="A373" t="s">
        <v>2363</v>
      </c>
      <c r="B373" t="str">
        <f t="shared" ca="1" si="60"/>
        <v>23- 50</v>
      </c>
      <c r="C373" t="str">
        <f t="shared" ca="1" si="61"/>
        <v>- 36.266 N</v>
      </c>
      <c r="D373" t="str">
        <f t="shared" ca="1" si="62"/>
        <v>ww</v>
      </c>
      <c r="E373" t="str">
        <f t="shared" ca="1" si="63"/>
        <v>23- 50ww- 36.266 N</v>
      </c>
      <c r="F373" t="str">
        <f t="shared" ca="1" si="64"/>
        <v>23- 50ww- 36.266 N</v>
      </c>
      <c r="H373" t="s">
        <v>2857</v>
      </c>
      <c r="I373" t="str">
        <f t="shared" ca="1" si="65"/>
        <v>9</v>
      </c>
      <c r="J373" t="str">
        <f t="shared" ca="1" si="66"/>
        <v>0- 25- 48.758 E</v>
      </c>
      <c r="K373" t="str">
        <f t="shared" ca="1" si="67"/>
        <v>ttt</v>
      </c>
      <c r="L373" t="str">
        <f t="shared" ca="1" si="68"/>
        <v>9ttt0- 25- 48.758 E</v>
      </c>
      <c r="M373" t="str">
        <f t="shared" ca="1" si="69"/>
        <v>9ttt0- 25- 48.758 E</v>
      </c>
      <c r="N373">
        <f t="shared" ca="1" si="70"/>
        <v>23.843407222222222</v>
      </c>
      <c r="O373">
        <f t="shared" ca="1" si="71"/>
        <v>90.430210555555561</v>
      </c>
    </row>
    <row r="374" spans="1:15" x14ac:dyDescent="0.3">
      <c r="A374" t="s">
        <v>2364</v>
      </c>
      <c r="B374" t="str">
        <f t="shared" ca="1" si="60"/>
        <v xml:space="preserve">23- 50- 36.854 </v>
      </c>
      <c r="C374" t="str">
        <f t="shared" ca="1" si="61"/>
        <v>N</v>
      </c>
      <c r="D374" t="str">
        <f t="shared" ca="1" si="62"/>
        <v>ff</v>
      </c>
      <c r="E374" t="str">
        <f t="shared" ca="1" si="63"/>
        <v>23- 50- 36.854 ffN</v>
      </c>
      <c r="F374" t="str">
        <f t="shared" ca="1" si="64"/>
        <v>23- 50- 36.854 ffN</v>
      </c>
      <c r="H374" t="s">
        <v>2858</v>
      </c>
      <c r="I374" t="str">
        <f t="shared" ca="1" si="65"/>
        <v>90- 2</v>
      </c>
      <c r="J374" t="str">
        <f t="shared" ca="1" si="66"/>
        <v>6- 24.074 E</v>
      </c>
      <c r="K374" t="str">
        <f t="shared" ca="1" si="67"/>
        <v>O</v>
      </c>
      <c r="L374" t="str">
        <f t="shared" ca="1" si="68"/>
        <v>90- 2O6- 24.074 E</v>
      </c>
      <c r="M374" t="str">
        <f t="shared" ca="1" si="69"/>
        <v>90- 2O6- 24.074 E</v>
      </c>
      <c r="N374">
        <f t="shared" ca="1" si="70"/>
        <v>23.843570555555555</v>
      </c>
      <c r="O374">
        <f t="shared" ca="1" si="71"/>
        <v>90.440020555555563</v>
      </c>
    </row>
    <row r="375" spans="1:15" x14ac:dyDescent="0.3">
      <c r="A375" t="s">
        <v>2365</v>
      </c>
      <c r="B375" t="str">
        <f t="shared" ca="1" si="60"/>
        <v>23- 50- 3</v>
      </c>
      <c r="C375" t="str">
        <f t="shared" ca="1" si="61"/>
        <v>7.440 N</v>
      </c>
      <c r="D375" t="str">
        <f t="shared" ca="1" si="62"/>
        <v>]</v>
      </c>
      <c r="E375" t="str">
        <f t="shared" ca="1" si="63"/>
        <v>23- 50- 3]7.440 N</v>
      </c>
      <c r="F375" t="str">
        <f t="shared" ca="1" si="64"/>
        <v>23- 50- 3]7.440 N</v>
      </c>
      <c r="H375" t="s">
        <v>2859</v>
      </c>
      <c r="I375" t="str">
        <f t="shared" ca="1" si="65"/>
        <v>90- 26- 5</v>
      </c>
      <c r="J375" t="str">
        <f t="shared" ca="1" si="66"/>
        <v>9.391 E</v>
      </c>
      <c r="K375" t="str">
        <f t="shared" ca="1" si="67"/>
        <v>__</v>
      </c>
      <c r="L375" t="str">
        <f t="shared" ca="1" si="68"/>
        <v>90- 26- 5__9.391 E</v>
      </c>
      <c r="M375" t="str">
        <f t="shared" ca="1" si="69"/>
        <v>90- 26- 5__9.391 E</v>
      </c>
      <c r="N375">
        <f t="shared" ca="1" si="70"/>
        <v>23.843733333333333</v>
      </c>
      <c r="O375">
        <f t="shared" ca="1" si="71"/>
        <v>90.449830833333337</v>
      </c>
    </row>
    <row r="376" spans="1:15" x14ac:dyDescent="0.3">
      <c r="A376" t="s">
        <v>2366</v>
      </c>
      <c r="B376" t="str">
        <f t="shared" ca="1" si="60"/>
        <v>23- 50- 38.</v>
      </c>
      <c r="C376" t="str">
        <f t="shared" ca="1" si="61"/>
        <v>023 N</v>
      </c>
      <c r="D376" t="str">
        <f t="shared" ca="1" si="62"/>
        <v>s</v>
      </c>
      <c r="E376" t="str">
        <f t="shared" ca="1" si="63"/>
        <v>23- 50- 38.s023 N</v>
      </c>
      <c r="F376" t="str">
        <f t="shared" ca="1" si="64"/>
        <v>23- 50- 38.s023 N</v>
      </c>
      <c r="H376" t="s">
        <v>2860</v>
      </c>
      <c r="I376" t="str">
        <f t="shared" ca="1" si="65"/>
        <v>90- 2</v>
      </c>
      <c r="J376" t="str">
        <f t="shared" ca="1" si="66"/>
        <v>7- 34.708 E</v>
      </c>
      <c r="K376" t="str">
        <f t="shared" ca="1" si="67"/>
        <v>DDDD</v>
      </c>
      <c r="L376" t="str">
        <f t="shared" ca="1" si="68"/>
        <v>90- 2DDDD7- 34.708 E</v>
      </c>
      <c r="M376" t="str">
        <f t="shared" ca="1" si="69"/>
        <v>90- 2DDDD7- 34.708 E</v>
      </c>
      <c r="N376">
        <f t="shared" ca="1" si="70"/>
        <v>23.843895277777776</v>
      </c>
      <c r="O376">
        <f t="shared" ca="1" si="71"/>
        <v>90.459641111111111</v>
      </c>
    </row>
    <row r="377" spans="1:15" x14ac:dyDescent="0.3">
      <c r="A377" t="s">
        <v>2367</v>
      </c>
      <c r="B377" t="str">
        <f t="shared" ca="1" si="60"/>
        <v>23- 50- 38.605</v>
      </c>
      <c r="C377" t="str">
        <f t="shared" ca="1" si="61"/>
        <v xml:space="preserve"> N</v>
      </c>
      <c r="D377" t="str">
        <f t="shared" ca="1" si="62"/>
        <v>pppp</v>
      </c>
      <c r="E377" t="str">
        <f t="shared" ca="1" si="63"/>
        <v>23- 50- 38.605pppp N</v>
      </c>
      <c r="F377" t="str">
        <f t="shared" ca="1" si="64"/>
        <v>23- 50- 38.605pppp N</v>
      </c>
      <c r="H377" t="s">
        <v>2861</v>
      </c>
      <c r="I377" t="str">
        <f t="shared" ca="1" si="65"/>
        <v>90- 28- 10.</v>
      </c>
      <c r="J377" t="str">
        <f t="shared" ca="1" si="66"/>
        <v>025 E</v>
      </c>
      <c r="K377" t="str">
        <f t="shared" ca="1" si="67"/>
        <v>TTTT</v>
      </c>
      <c r="L377" t="str">
        <f t="shared" ca="1" si="68"/>
        <v>90- 28- 10.TTTT025 E</v>
      </c>
      <c r="M377" t="str">
        <f t="shared" ca="1" si="69"/>
        <v>90- 28- 10.TTTT025 E</v>
      </c>
      <c r="N377">
        <f t="shared" ca="1" si="70"/>
        <v>23.844056944444443</v>
      </c>
      <c r="O377">
        <f t="shared" ca="1" si="71"/>
        <v>90.469451388888885</v>
      </c>
    </row>
    <row r="378" spans="1:15" x14ac:dyDescent="0.3">
      <c r="A378" t="s">
        <v>2368</v>
      </c>
      <c r="B378" t="str">
        <f t="shared" ca="1" si="60"/>
        <v>23- 5</v>
      </c>
      <c r="C378" t="str">
        <f t="shared" ca="1" si="61"/>
        <v>0- 39.184 N</v>
      </c>
      <c r="D378" t="str">
        <f t="shared" ca="1" si="62"/>
        <v>MMMM</v>
      </c>
      <c r="E378" t="str">
        <f t="shared" ca="1" si="63"/>
        <v>23- 5MMMM0- 39.184 N</v>
      </c>
      <c r="F378" t="str">
        <f t="shared" ca="1" si="64"/>
        <v>23- 5MMMM0- 39.184 N</v>
      </c>
      <c r="H378" t="s">
        <v>2862</v>
      </c>
      <c r="I378" t="str">
        <f t="shared" ca="1" si="65"/>
        <v>90- 28- 45.34</v>
      </c>
      <c r="J378" t="str">
        <f t="shared" ca="1" si="66"/>
        <v>2 E</v>
      </c>
      <c r="K378" t="str">
        <f t="shared" ca="1" si="67"/>
        <v>JJJJ</v>
      </c>
      <c r="L378" t="str">
        <f t="shared" ca="1" si="68"/>
        <v>90- 28- 45.34JJJJ2 E</v>
      </c>
      <c r="M378" t="str">
        <f t="shared" ca="1" si="69"/>
        <v>90- 28- 45.34JJJJ2 E</v>
      </c>
      <c r="N378">
        <f t="shared" ca="1" si="70"/>
        <v>23.844217777777775</v>
      </c>
      <c r="O378">
        <f t="shared" ca="1" si="71"/>
        <v>90.479261666666673</v>
      </c>
    </row>
    <row r="379" spans="1:15" x14ac:dyDescent="0.3">
      <c r="A379" t="s">
        <v>2369</v>
      </c>
      <c r="B379" t="str">
        <f t="shared" ca="1" si="60"/>
        <v>23- 50- 39.76</v>
      </c>
      <c r="C379" t="str">
        <f t="shared" ca="1" si="61"/>
        <v>1 N</v>
      </c>
      <c r="D379" t="str">
        <f t="shared" ca="1" si="62"/>
        <v>}</v>
      </c>
      <c r="E379" t="str">
        <f t="shared" ca="1" si="63"/>
        <v>23- 50- 39.76}1 N</v>
      </c>
      <c r="F379" t="str">
        <f t="shared" ca="1" si="64"/>
        <v>23- 50- 39.76}1 N</v>
      </c>
      <c r="H379" t="s">
        <v>2863</v>
      </c>
      <c r="I379" t="str">
        <f t="shared" ca="1" si="65"/>
        <v>90-</v>
      </c>
      <c r="J379" t="str">
        <f t="shared" ca="1" si="66"/>
        <v xml:space="preserve"> 29- 20.660 E</v>
      </c>
      <c r="K379" t="str">
        <f t="shared" ca="1" si="67"/>
        <v>^^</v>
      </c>
      <c r="L379" t="str">
        <f t="shared" ca="1" si="68"/>
        <v>90-^^ 29- 20.660 E</v>
      </c>
      <c r="M379" t="str">
        <f t="shared" ca="1" si="69"/>
        <v>90-^^ 29- 20.660 E</v>
      </c>
      <c r="N379">
        <f t="shared" ca="1" si="70"/>
        <v>23.844378055555556</v>
      </c>
      <c r="O379">
        <f t="shared" ca="1" si="71"/>
        <v>90.489072222222219</v>
      </c>
    </row>
    <row r="380" spans="1:15" x14ac:dyDescent="0.3">
      <c r="A380" t="s">
        <v>2370</v>
      </c>
      <c r="B380" t="str">
        <f t="shared" ca="1" si="60"/>
        <v>23</v>
      </c>
      <c r="C380" t="str">
        <f t="shared" ca="1" si="61"/>
        <v>- 50- 40.336 N</v>
      </c>
      <c r="D380" t="str">
        <f t="shared" ca="1" si="62"/>
        <v>qqqqq</v>
      </c>
      <c r="E380" t="str">
        <f t="shared" ca="1" si="63"/>
        <v>23qqqqq- 50- 40.336 N</v>
      </c>
      <c r="F380" t="str">
        <f t="shared" ca="1" si="64"/>
        <v>23qqqqq- 50- 40.336 N</v>
      </c>
      <c r="H380" t="s">
        <v>2864</v>
      </c>
      <c r="I380" t="str">
        <f t="shared" ca="1" si="65"/>
        <v>90- 29- 55.978</v>
      </c>
      <c r="J380" t="str">
        <f t="shared" ca="1" si="66"/>
        <v xml:space="preserve"> E</v>
      </c>
      <c r="K380" t="str">
        <f t="shared" ca="1" si="67"/>
        <v>vvvvv</v>
      </c>
      <c r="L380" t="str">
        <f t="shared" ca="1" si="68"/>
        <v>90- 29- 55.978vvvvv E</v>
      </c>
      <c r="M380" t="str">
        <f t="shared" ca="1" si="69"/>
        <v>90- 29- 55.978vvvvv E</v>
      </c>
      <c r="N380">
        <f t="shared" ca="1" si="70"/>
        <v>23.844537777777777</v>
      </c>
      <c r="O380">
        <f t="shared" ca="1" si="71"/>
        <v>90.49888277777778</v>
      </c>
    </row>
    <row r="381" spans="1:15" x14ac:dyDescent="0.3">
      <c r="A381" t="s">
        <v>2371</v>
      </c>
      <c r="B381" t="str">
        <f t="shared" ca="1" si="60"/>
        <v>23- 50- 4</v>
      </c>
      <c r="C381" t="str">
        <f t="shared" ca="1" si="61"/>
        <v>0.909 N</v>
      </c>
      <c r="D381" t="str">
        <f t="shared" ca="1" si="62"/>
        <v>KKKK</v>
      </c>
      <c r="E381" t="str">
        <f t="shared" ca="1" si="63"/>
        <v>23- 50- 4KKKK0.909 N</v>
      </c>
      <c r="F381" t="str">
        <f t="shared" ca="1" si="64"/>
        <v>23- 50- 4KKKK0.909 N</v>
      </c>
      <c r="H381" t="s">
        <v>2865</v>
      </c>
      <c r="I381" t="str">
        <f t="shared" ca="1" si="65"/>
        <v>90- 30- 3</v>
      </c>
      <c r="J381" t="str">
        <f t="shared" ca="1" si="66"/>
        <v>1.296 E</v>
      </c>
      <c r="K381" t="str">
        <f t="shared" ca="1" si="67"/>
        <v>SS</v>
      </c>
      <c r="L381" t="str">
        <f t="shared" ca="1" si="68"/>
        <v>90- 30- 3SS1.296 E</v>
      </c>
      <c r="M381" t="str">
        <f t="shared" ca="1" si="69"/>
        <v>90- 30- 3SS1.296 E</v>
      </c>
      <c r="N381">
        <f t="shared" ca="1" si="70"/>
        <v>23.844696944444443</v>
      </c>
      <c r="O381">
        <f t="shared" ca="1" si="71"/>
        <v>90.508693333333326</v>
      </c>
    </row>
    <row r="382" spans="1:15" x14ac:dyDescent="0.3">
      <c r="A382" t="s">
        <v>2372</v>
      </c>
      <c r="B382" t="str">
        <f t="shared" ca="1" si="60"/>
        <v>23- 51- 2.741</v>
      </c>
      <c r="C382" t="str">
        <f t="shared" ca="1" si="61"/>
        <v xml:space="preserve"> N</v>
      </c>
      <c r="D382" t="str">
        <f t="shared" ca="1" si="62"/>
        <v>eeeee</v>
      </c>
      <c r="E382" t="str">
        <f t="shared" ca="1" si="63"/>
        <v>23- 51- 2.741eeeee N</v>
      </c>
      <c r="F382" t="str">
        <f t="shared" ca="1" si="64"/>
        <v>23- 51- 2.741eeeee N</v>
      </c>
      <c r="H382" t="s">
        <v>2866</v>
      </c>
      <c r="I382" t="str">
        <f t="shared" ca="1" si="65"/>
        <v>90- 19- 54</v>
      </c>
      <c r="J382" t="str">
        <f t="shared" ca="1" si="66"/>
        <v>.949 E</v>
      </c>
      <c r="K382" t="str">
        <f t="shared" ca="1" si="67"/>
        <v>Z</v>
      </c>
      <c r="L382" t="str">
        <f t="shared" ca="1" si="68"/>
        <v>90- 19- 54Z.949 E</v>
      </c>
      <c r="M382" t="str">
        <f t="shared" ca="1" si="69"/>
        <v>90- 19- 54Z.949 E</v>
      </c>
      <c r="N382">
        <f t="shared" ca="1" si="70"/>
        <v>23.850761388888891</v>
      </c>
      <c r="O382">
        <f t="shared" ca="1" si="71"/>
        <v>90.331930277777772</v>
      </c>
    </row>
    <row r="383" spans="1:15" x14ac:dyDescent="0.3">
      <c r="A383" t="s">
        <v>2373</v>
      </c>
      <c r="B383" t="str">
        <f t="shared" ca="1" si="60"/>
        <v>2</v>
      </c>
      <c r="C383" t="str">
        <f t="shared" ca="1" si="61"/>
        <v>3- 51- 3.35 N</v>
      </c>
      <c r="D383" t="str">
        <f t="shared" ca="1" si="62"/>
        <v>DD</v>
      </c>
      <c r="E383" t="str">
        <f t="shared" ca="1" si="63"/>
        <v>2DD3- 51- 3.35 N</v>
      </c>
      <c r="F383" t="str">
        <f t="shared" ca="1" si="64"/>
        <v>2DD3- 51- 3.35 N</v>
      </c>
      <c r="H383" t="s">
        <v>2867</v>
      </c>
      <c r="I383" t="str">
        <f t="shared" ca="1" si="65"/>
        <v xml:space="preserve">90- 20- </v>
      </c>
      <c r="J383" t="str">
        <f t="shared" ca="1" si="66"/>
        <v>30.264 E</v>
      </c>
      <c r="K383" t="str">
        <f t="shared" ca="1" si="67"/>
        <v>KKKKK</v>
      </c>
      <c r="L383" t="str">
        <f t="shared" ca="1" si="68"/>
        <v>90- 20- KKKKK30.264 E</v>
      </c>
      <c r="M383" t="str">
        <f t="shared" ca="1" si="69"/>
        <v>90- 20- KKKKK30.264 E</v>
      </c>
      <c r="N383">
        <f t="shared" ca="1" si="70"/>
        <v>23.850930555555557</v>
      </c>
      <c r="O383">
        <f t="shared" ca="1" si="71"/>
        <v>90.341740000000001</v>
      </c>
    </row>
    <row r="384" spans="1:15" x14ac:dyDescent="0.3">
      <c r="A384" t="s">
        <v>2374</v>
      </c>
      <c r="B384" t="str">
        <f t="shared" ca="1" si="60"/>
        <v>23</v>
      </c>
      <c r="C384" t="str">
        <f t="shared" ca="1" si="61"/>
        <v>- 51- 3.961 N</v>
      </c>
      <c r="D384" t="str">
        <f t="shared" ca="1" si="62"/>
        <v>€€€€€</v>
      </c>
      <c r="E384" t="str">
        <f t="shared" ca="1" si="63"/>
        <v>23€€€€€- 51- 3.961 N</v>
      </c>
      <c r="F384" t="str">
        <f t="shared" ca="1" si="64"/>
        <v>23€€€€€- 51- 3.961 N</v>
      </c>
      <c r="H384" t="s">
        <v>2868</v>
      </c>
      <c r="I384" t="str">
        <f t="shared" ca="1" si="65"/>
        <v>90- 21- 5</v>
      </c>
      <c r="J384" t="str">
        <f t="shared" ca="1" si="66"/>
        <v>.580 E</v>
      </c>
      <c r="K384" t="str">
        <f t="shared" ca="1" si="67"/>
        <v>NN</v>
      </c>
      <c r="L384" t="str">
        <f t="shared" ca="1" si="68"/>
        <v>90- 21- 5NN.580 E</v>
      </c>
      <c r="M384" t="str">
        <f t="shared" ca="1" si="69"/>
        <v>90- 21- 5NN.580 E</v>
      </c>
      <c r="N384">
        <f t="shared" ca="1" si="70"/>
        <v>23.851100277777778</v>
      </c>
      <c r="O384">
        <f t="shared" ca="1" si="71"/>
        <v>90.351549999999989</v>
      </c>
    </row>
    <row r="385" spans="1:15" x14ac:dyDescent="0.3">
      <c r="A385" t="s">
        <v>2375</v>
      </c>
      <c r="B385" t="str">
        <f t="shared" ca="1" si="60"/>
        <v>23</v>
      </c>
      <c r="C385" t="str">
        <f t="shared" ca="1" si="61"/>
        <v>- 51- 4.567 N</v>
      </c>
      <c r="D385" t="str">
        <f t="shared" ca="1" si="62"/>
        <v>www</v>
      </c>
      <c r="E385" t="str">
        <f t="shared" ca="1" si="63"/>
        <v>23www- 51- 4.567 N</v>
      </c>
      <c r="F385" t="str">
        <f t="shared" ca="1" si="64"/>
        <v>23www- 51- 4.567 N</v>
      </c>
      <c r="H385" t="s">
        <v>2869</v>
      </c>
      <c r="I385" t="str">
        <f t="shared" ca="1" si="65"/>
        <v>9</v>
      </c>
      <c r="J385" t="str">
        <f t="shared" ca="1" si="66"/>
        <v>0- 21- 40.86 E</v>
      </c>
      <c r="K385" t="str">
        <f t="shared" ca="1" si="67"/>
        <v>[[[</v>
      </c>
      <c r="L385" t="str">
        <f t="shared" ca="1" si="68"/>
        <v>9[[[0- 21- 40.86 E</v>
      </c>
      <c r="M385" t="str">
        <f t="shared" ca="1" si="69"/>
        <v>9[[[0- 21- 40.86 E</v>
      </c>
      <c r="N385">
        <f t="shared" ca="1" si="70"/>
        <v>23.851268611111113</v>
      </c>
      <c r="O385">
        <f t="shared" ca="1" si="71"/>
        <v>90.361349999999987</v>
      </c>
    </row>
    <row r="386" spans="1:15" x14ac:dyDescent="0.3">
      <c r="A386" t="s">
        <v>2376</v>
      </c>
      <c r="B386" t="str">
        <f t="shared" ref="B386:B449" ca="1" si="72">LEFT(A386,RANDBETWEEN(1,LEN(A386)))</f>
        <v xml:space="preserve">23- 51- 5.171 </v>
      </c>
      <c r="C386" t="str">
        <f t="shared" ref="C386:C449" ca="1" si="73">SUBSTITUTE(A386,B386,"")</f>
        <v>N</v>
      </c>
      <c r="D386" t="str">
        <f t="shared" ca="1" si="62"/>
        <v>jjjjj</v>
      </c>
      <c r="E386" t="str">
        <f t="shared" ca="1" si="63"/>
        <v>23- 51- 5.171 jjjjjN</v>
      </c>
      <c r="F386" t="str">
        <f t="shared" ca="1" si="64"/>
        <v>23- 51- 5.171 jjjjjN</v>
      </c>
      <c r="H386" t="s">
        <v>2870</v>
      </c>
      <c r="I386" t="str">
        <f t="shared" ca="1" si="65"/>
        <v>90- 22- 16.212 E</v>
      </c>
      <c r="J386" t="str">
        <f t="shared" ca="1" si="66"/>
        <v/>
      </c>
      <c r="K386" t="str">
        <f t="shared" ca="1" si="67"/>
        <v>j</v>
      </c>
      <c r="L386" t="str">
        <f t="shared" ca="1" si="68"/>
        <v>90- 22- 16.212 Ej</v>
      </c>
      <c r="M386" t="str">
        <f t="shared" ca="1" si="69"/>
        <v>90- 22- 16.212 Ej</v>
      </c>
      <c r="N386">
        <f t="shared" ca="1" si="70"/>
        <v>23.851436388888889</v>
      </c>
      <c r="O386">
        <f t="shared" ca="1" si="71"/>
        <v>90.371169999999992</v>
      </c>
    </row>
    <row r="387" spans="1:15" x14ac:dyDescent="0.3">
      <c r="A387" t="s">
        <v>2377</v>
      </c>
      <c r="B387" t="str">
        <f t="shared" ca="1" si="72"/>
        <v>23- 51- 5.773 N</v>
      </c>
      <c r="C387" t="str">
        <f t="shared" ca="1" si="73"/>
        <v/>
      </c>
      <c r="D387" t="str">
        <f t="shared" ref="D387:D450" ca="1" si="74">IF(ISERROR(REPT(CHAR(RANDBETWEEN(65,128)),RANDBETWEEN(1,5))),"ee",(REPT(CHAR(RANDBETWEEN(65,128)),RANDBETWEEN(1,5))))</f>
        <v>kkk</v>
      </c>
      <c r="E387" t="str">
        <f t="shared" ref="E387:E450" ca="1" si="75">B387&amp;D387&amp;C387</f>
        <v>23- 51- 5.773 Nkkk</v>
      </c>
      <c r="F387" t="str">
        <f t="shared" ref="F387:F450" ca="1" si="76">E387</f>
        <v>23- 51- 5.773 Nkkk</v>
      </c>
      <c r="H387" t="s">
        <v>2871</v>
      </c>
      <c r="I387" t="str">
        <f t="shared" ref="I387:I450" ca="1" si="77">LEFT(H387,RANDBETWEEN(1,LEN(H387)))</f>
        <v>90- 22</v>
      </c>
      <c r="J387" t="str">
        <f t="shared" ref="J387:J450" ca="1" si="78">SUBSTITUTE(H387,I387,"")</f>
        <v>- 51.529 E</v>
      </c>
      <c r="K387" t="str">
        <f t="shared" ref="K387:K450" ca="1" si="79">IF(ISERROR(REPT(CHAR(RANDBETWEEN(65,128)),RANDBETWEEN(1,5))),"ee",(REPT(CHAR(RANDBETWEEN(65,128)),RANDBETWEEN(1,5))))</f>
        <v>qqqq</v>
      </c>
      <c r="L387" t="str">
        <f t="shared" ref="L387:L450" ca="1" si="80">I387&amp;K387&amp;J387</f>
        <v>90- 22qqqq- 51.529 E</v>
      </c>
      <c r="M387" t="str">
        <f t="shared" ref="M387:M450" ca="1" si="81">L387</f>
        <v>90- 22qqqq- 51.529 E</v>
      </c>
      <c r="N387">
        <f t="shared" ref="N387:N450" ca="1" si="82">DecimalDegreesConverter(F387,,,"-")</f>
        <v>23.851603611111113</v>
      </c>
      <c r="O387">
        <f t="shared" ref="O387:O450" ca="1" si="83">DecimalDegreesConverter(M387,,,"-")</f>
        <v>90.380980277777766</v>
      </c>
    </row>
    <row r="388" spans="1:15" x14ac:dyDescent="0.3">
      <c r="A388" t="s">
        <v>2378</v>
      </c>
      <c r="B388" t="str">
        <f t="shared" ca="1" si="72"/>
        <v>23- 51- 6.3</v>
      </c>
      <c r="C388" t="str">
        <f t="shared" ca="1" si="73"/>
        <v>73 N</v>
      </c>
      <c r="D388" t="str">
        <f t="shared" ca="1" si="74"/>
        <v>n</v>
      </c>
      <c r="E388" t="str">
        <f t="shared" ca="1" si="75"/>
        <v>23- 51- 6.3n73 N</v>
      </c>
      <c r="F388" t="str">
        <f t="shared" ca="1" si="76"/>
        <v>23- 51- 6.3n73 N</v>
      </c>
      <c r="H388" t="s">
        <v>2872</v>
      </c>
      <c r="I388" t="str">
        <f t="shared" ca="1" si="77"/>
        <v xml:space="preserve">90- 23- 26.846 </v>
      </c>
      <c r="J388" t="str">
        <f t="shared" ca="1" si="78"/>
        <v>E</v>
      </c>
      <c r="K388" t="str">
        <f t="shared" ca="1" si="79"/>
        <v>mmmm</v>
      </c>
      <c r="L388" t="str">
        <f t="shared" ca="1" si="80"/>
        <v>90- 23- 26.846 mmmmE</v>
      </c>
      <c r="M388" t="str">
        <f t="shared" ca="1" si="81"/>
        <v>90- 23- 26.846 mmmmE</v>
      </c>
      <c r="N388">
        <f t="shared" ca="1" si="82"/>
        <v>23.851770277777778</v>
      </c>
      <c r="O388">
        <f t="shared" ca="1" si="83"/>
        <v>90.390790555555569</v>
      </c>
    </row>
    <row r="389" spans="1:15" x14ac:dyDescent="0.3">
      <c r="A389" t="s">
        <v>2379</v>
      </c>
      <c r="B389" t="str">
        <f t="shared" ca="1" si="72"/>
        <v xml:space="preserve">23- </v>
      </c>
      <c r="C389" t="str">
        <f t="shared" ca="1" si="73"/>
        <v>51- 6.971 N</v>
      </c>
      <c r="D389" t="str">
        <f t="shared" ca="1" si="74"/>
        <v>PP</v>
      </c>
      <c r="E389" t="str">
        <f t="shared" ca="1" si="75"/>
        <v>23- PP51- 6.971 N</v>
      </c>
      <c r="F389" t="str">
        <f t="shared" ca="1" si="76"/>
        <v>23- PP51- 6.971 N</v>
      </c>
      <c r="H389" t="s">
        <v>2873</v>
      </c>
      <c r="I389" t="str">
        <f t="shared" ca="1" si="77"/>
        <v>90</v>
      </c>
      <c r="J389" t="str">
        <f t="shared" ca="1" si="78"/>
        <v>- 24- 2.163 E</v>
      </c>
      <c r="K389" t="str">
        <f t="shared" ca="1" si="79"/>
        <v>JJJJJ</v>
      </c>
      <c r="L389" t="str">
        <f t="shared" ca="1" si="80"/>
        <v>90JJJJJ- 24- 2.163 E</v>
      </c>
      <c r="M389" t="str">
        <f t="shared" ca="1" si="81"/>
        <v>90JJJJJ- 24- 2.163 E</v>
      </c>
      <c r="N389">
        <f t="shared" ca="1" si="82"/>
        <v>23.851936388888891</v>
      </c>
      <c r="O389">
        <f t="shared" ca="1" si="83"/>
        <v>90.400600833333343</v>
      </c>
    </row>
    <row r="390" spans="1:15" x14ac:dyDescent="0.3">
      <c r="A390" t="s">
        <v>2380</v>
      </c>
      <c r="B390" t="str">
        <f t="shared" ca="1" si="72"/>
        <v>23- 51- 7.566 N</v>
      </c>
      <c r="C390" t="str">
        <f t="shared" ca="1" si="73"/>
        <v/>
      </c>
      <c r="D390" t="str">
        <f t="shared" ca="1" si="74"/>
        <v>mmm</v>
      </c>
      <c r="E390" t="str">
        <f t="shared" ca="1" si="75"/>
        <v>23- 51- 7.566 Nmmm</v>
      </c>
      <c r="F390" t="str">
        <f t="shared" ca="1" si="76"/>
        <v>23- 51- 7.566 Nmmm</v>
      </c>
      <c r="H390" t="s">
        <v>2874</v>
      </c>
      <c r="I390" t="str">
        <f t="shared" ca="1" si="77"/>
        <v>90- 2</v>
      </c>
      <c r="J390" t="str">
        <f t="shared" ca="1" si="78"/>
        <v>4- 37.481 E</v>
      </c>
      <c r="K390" t="str">
        <f t="shared" ca="1" si="79"/>
        <v>DDDDD</v>
      </c>
      <c r="L390" t="str">
        <f t="shared" ca="1" si="80"/>
        <v>90- 2DDDDD4- 37.481 E</v>
      </c>
      <c r="M390" t="str">
        <f t="shared" ca="1" si="81"/>
        <v>90- 2DDDDD4- 37.481 E</v>
      </c>
      <c r="N390">
        <f t="shared" ca="1" si="82"/>
        <v>23.85210166666667</v>
      </c>
      <c r="O390">
        <f t="shared" ca="1" si="83"/>
        <v>90.410411388888889</v>
      </c>
    </row>
    <row r="391" spans="1:15" x14ac:dyDescent="0.3">
      <c r="A391" t="s">
        <v>2381</v>
      </c>
      <c r="B391" t="str">
        <f t="shared" ca="1" si="72"/>
        <v>23- 51- 8.15</v>
      </c>
      <c r="C391" t="str">
        <f t="shared" ca="1" si="73"/>
        <v>9 N</v>
      </c>
      <c r="D391" t="str">
        <f t="shared" ca="1" si="74"/>
        <v>LLL</v>
      </c>
      <c r="E391" t="str">
        <f t="shared" ca="1" si="75"/>
        <v>23- 51- 8.15LLL9 N</v>
      </c>
      <c r="F391" t="str">
        <f t="shared" ca="1" si="76"/>
        <v>23- 51- 8.15LLL9 N</v>
      </c>
      <c r="H391" t="s">
        <v>2875</v>
      </c>
      <c r="I391" t="str">
        <f t="shared" ca="1" si="77"/>
        <v>90- 25- 12</v>
      </c>
      <c r="J391" t="str">
        <f t="shared" ca="1" si="78"/>
        <v>.799 E</v>
      </c>
      <c r="K391" t="str">
        <f t="shared" ca="1" si="79"/>
        <v>{{{{{</v>
      </c>
      <c r="L391" t="str">
        <f t="shared" ca="1" si="80"/>
        <v>90- 25- 12{{{{{.799 E</v>
      </c>
      <c r="M391" t="str">
        <f t="shared" ca="1" si="81"/>
        <v>90- 25- 12{{{{{.799 E</v>
      </c>
      <c r="N391">
        <f t="shared" ca="1" si="82"/>
        <v>23.852266388888889</v>
      </c>
      <c r="O391">
        <f t="shared" ca="1" si="83"/>
        <v>90.420221944444449</v>
      </c>
    </row>
    <row r="392" spans="1:15" x14ac:dyDescent="0.3">
      <c r="A392" t="s">
        <v>2382</v>
      </c>
      <c r="B392" t="str">
        <f t="shared" ca="1" si="72"/>
        <v>2</v>
      </c>
      <c r="C392" t="str">
        <f t="shared" ca="1" si="73"/>
        <v>3- 51- 8.750 N</v>
      </c>
      <c r="D392" t="str">
        <f t="shared" ca="1" si="74"/>
        <v>LL</v>
      </c>
      <c r="E392" t="str">
        <f t="shared" ca="1" si="75"/>
        <v>2LL3- 51- 8.750 N</v>
      </c>
      <c r="F392" t="str">
        <f t="shared" ca="1" si="76"/>
        <v>2LL3- 51- 8.750 N</v>
      </c>
      <c r="H392" t="s">
        <v>2876</v>
      </c>
      <c r="I392" t="str">
        <f t="shared" ca="1" si="77"/>
        <v>90- 25- 48.117</v>
      </c>
      <c r="J392" t="str">
        <f t="shared" ca="1" si="78"/>
        <v xml:space="preserve"> E</v>
      </c>
      <c r="K392" t="str">
        <f t="shared" ca="1" si="79"/>
        <v>ZZ</v>
      </c>
      <c r="L392" t="str">
        <f t="shared" ca="1" si="80"/>
        <v>90- 25- 48.117ZZ E</v>
      </c>
      <c r="M392" t="str">
        <f t="shared" ca="1" si="81"/>
        <v>90- 25- 48.117ZZ E</v>
      </c>
      <c r="N392">
        <f t="shared" ca="1" si="82"/>
        <v>23.852430555555557</v>
      </c>
      <c r="O392">
        <f t="shared" ca="1" si="83"/>
        <v>90.43003250000001</v>
      </c>
    </row>
    <row r="393" spans="1:15" x14ac:dyDescent="0.3">
      <c r="A393" t="s">
        <v>2383</v>
      </c>
      <c r="B393" t="str">
        <f t="shared" ca="1" si="72"/>
        <v xml:space="preserve">23- 51- </v>
      </c>
      <c r="C393" t="str">
        <f t="shared" ca="1" si="73"/>
        <v>9.338 N</v>
      </c>
      <c r="D393" t="str">
        <f t="shared" ca="1" si="74"/>
        <v>fffff</v>
      </c>
      <c r="E393" t="str">
        <f t="shared" ca="1" si="75"/>
        <v>23- 51- fffff9.338 N</v>
      </c>
      <c r="F393" t="str">
        <f t="shared" ca="1" si="76"/>
        <v>23- 51- fffff9.338 N</v>
      </c>
      <c r="H393" t="s">
        <v>2877</v>
      </c>
      <c r="I393" t="str">
        <f t="shared" ca="1" si="77"/>
        <v>90</v>
      </c>
      <c r="J393" t="str">
        <f t="shared" ca="1" si="78"/>
        <v>- 26- 23.436 E</v>
      </c>
      <c r="K393" t="str">
        <f t="shared" ca="1" si="79"/>
        <v>oooo</v>
      </c>
      <c r="L393" t="str">
        <f t="shared" ca="1" si="80"/>
        <v>90oooo- 26- 23.436 E</v>
      </c>
      <c r="M393" t="str">
        <f t="shared" ca="1" si="81"/>
        <v>90oooo- 26- 23.436 E</v>
      </c>
      <c r="N393">
        <f t="shared" ca="1" si="82"/>
        <v>23.85259388888889</v>
      </c>
      <c r="O393">
        <f t="shared" ca="1" si="83"/>
        <v>90.439843333333343</v>
      </c>
    </row>
    <row r="394" spans="1:15" x14ac:dyDescent="0.3">
      <c r="A394" t="s">
        <v>2384</v>
      </c>
      <c r="B394" t="str">
        <f t="shared" ca="1" si="72"/>
        <v>23</v>
      </c>
      <c r="C394" t="str">
        <f t="shared" ca="1" si="73"/>
        <v>- 51- 9.924 N</v>
      </c>
      <c r="D394" t="str">
        <f t="shared" ca="1" si="74"/>
        <v>XXXXX</v>
      </c>
      <c r="E394" t="str">
        <f t="shared" ca="1" si="75"/>
        <v>23XXXXX- 51- 9.924 N</v>
      </c>
      <c r="F394" t="str">
        <f t="shared" ca="1" si="76"/>
        <v>23XXXXX- 51- 9.924 N</v>
      </c>
      <c r="H394" t="s">
        <v>2878</v>
      </c>
      <c r="I394" t="str">
        <f t="shared" ca="1" si="77"/>
        <v xml:space="preserve">90- </v>
      </c>
      <c r="J394" t="str">
        <f t="shared" ca="1" si="78"/>
        <v>26- 58.755 E</v>
      </c>
      <c r="K394" t="str">
        <f t="shared" ca="1" si="79"/>
        <v>f</v>
      </c>
      <c r="L394" t="str">
        <f t="shared" ca="1" si="80"/>
        <v>90- f26- 58.755 E</v>
      </c>
      <c r="M394" t="str">
        <f t="shared" ca="1" si="81"/>
        <v>90- f26- 58.755 E</v>
      </c>
      <c r="N394">
        <f t="shared" ca="1" si="82"/>
        <v>23.852756666666668</v>
      </c>
      <c r="O394">
        <f t="shared" ca="1" si="83"/>
        <v>90.449654166666676</v>
      </c>
    </row>
    <row r="395" spans="1:15" x14ac:dyDescent="0.3">
      <c r="A395" t="s">
        <v>2385</v>
      </c>
      <c r="B395" t="str">
        <f t="shared" ca="1" si="72"/>
        <v>2</v>
      </c>
      <c r="C395" t="str">
        <f t="shared" ca="1" si="73"/>
        <v>3- 51- 10.508 N</v>
      </c>
      <c r="D395" t="str">
        <f t="shared" ca="1" si="74"/>
        <v>OO</v>
      </c>
      <c r="E395" t="str">
        <f t="shared" ca="1" si="75"/>
        <v>2OO3- 51- 10.508 N</v>
      </c>
      <c r="F395" t="str">
        <f t="shared" ca="1" si="76"/>
        <v>2OO3- 51- 10.508 N</v>
      </c>
      <c r="H395" t="s">
        <v>2879</v>
      </c>
      <c r="I395" t="str">
        <f t="shared" ca="1" si="77"/>
        <v>90- 27- 34.0</v>
      </c>
      <c r="J395" t="str">
        <f t="shared" ca="1" si="78"/>
        <v>74 E</v>
      </c>
      <c r="K395" t="str">
        <f t="shared" ca="1" si="79"/>
        <v>J</v>
      </c>
      <c r="L395" t="str">
        <f t="shared" ca="1" si="80"/>
        <v>90- 27- 34.0J74 E</v>
      </c>
      <c r="M395" t="str">
        <f t="shared" ca="1" si="81"/>
        <v>90- 27- 34.0J74 E</v>
      </c>
      <c r="N395">
        <f t="shared" ca="1" si="82"/>
        <v>23.85291888888889</v>
      </c>
      <c r="O395">
        <f t="shared" ca="1" si="83"/>
        <v>90.459465000000009</v>
      </c>
    </row>
    <row r="396" spans="1:15" x14ac:dyDescent="0.3">
      <c r="A396" t="s">
        <v>2386</v>
      </c>
      <c r="B396" t="str">
        <f t="shared" ca="1" si="72"/>
        <v>23- 51- 11.</v>
      </c>
      <c r="C396" t="str">
        <f t="shared" ca="1" si="73"/>
        <v>090 N</v>
      </c>
      <c r="D396" t="str">
        <f t="shared" ca="1" si="74"/>
        <v>CC</v>
      </c>
      <c r="E396" t="str">
        <f t="shared" ca="1" si="75"/>
        <v>23- 51- 11.CC090 N</v>
      </c>
      <c r="F396" t="str">
        <f t="shared" ca="1" si="76"/>
        <v>23- 51- 11.CC090 N</v>
      </c>
      <c r="H396" t="s">
        <v>2880</v>
      </c>
      <c r="I396" t="str">
        <f t="shared" ca="1" si="77"/>
        <v>90- 28- 9</v>
      </c>
      <c r="J396" t="str">
        <f t="shared" ca="1" si="78"/>
        <v>.394 E</v>
      </c>
      <c r="K396" t="str">
        <f t="shared" ca="1" si="79"/>
        <v>ssss</v>
      </c>
      <c r="L396" t="str">
        <f t="shared" ca="1" si="80"/>
        <v>90- 28- 9ssss.394 E</v>
      </c>
      <c r="M396" t="str">
        <f t="shared" ca="1" si="81"/>
        <v>90- 28- 9ssss.394 E</v>
      </c>
      <c r="N396">
        <f t="shared" ca="1" si="82"/>
        <v>23.853080555555557</v>
      </c>
      <c r="O396">
        <f t="shared" ca="1" si="83"/>
        <v>90.469276111111114</v>
      </c>
    </row>
    <row r="397" spans="1:15" x14ac:dyDescent="0.3">
      <c r="A397" t="s">
        <v>2387</v>
      </c>
      <c r="B397" t="str">
        <f t="shared" ca="1" si="72"/>
        <v xml:space="preserve">23- 51- 11.669 </v>
      </c>
      <c r="C397" t="str">
        <f t="shared" ca="1" si="73"/>
        <v>N</v>
      </c>
      <c r="D397" t="str">
        <f t="shared" ca="1" si="74"/>
        <v>GGG</v>
      </c>
      <c r="E397" t="str">
        <f t="shared" ca="1" si="75"/>
        <v>23- 51- 11.669 GGGN</v>
      </c>
      <c r="F397" t="str">
        <f t="shared" ca="1" si="76"/>
        <v>23- 51- 11.669 GGGN</v>
      </c>
      <c r="H397" t="s">
        <v>2881</v>
      </c>
      <c r="I397" t="str">
        <f t="shared" ca="1" si="77"/>
        <v>90-</v>
      </c>
      <c r="J397" t="str">
        <f t="shared" ca="1" si="78"/>
        <v xml:space="preserve"> 28- 44.714 E</v>
      </c>
      <c r="K397" t="str">
        <f t="shared" ca="1" si="79"/>
        <v>ccc</v>
      </c>
      <c r="L397" t="str">
        <f t="shared" ca="1" si="80"/>
        <v>90-ccc 28- 44.714 E</v>
      </c>
      <c r="M397" t="str">
        <f t="shared" ca="1" si="81"/>
        <v>90-ccc 28- 44.714 E</v>
      </c>
      <c r="N397">
        <f t="shared" ca="1" si="82"/>
        <v>23.85324138888889</v>
      </c>
      <c r="O397">
        <f t="shared" ca="1" si="83"/>
        <v>90.479087222222219</v>
      </c>
    </row>
    <row r="398" spans="1:15" x14ac:dyDescent="0.3">
      <c r="A398" t="s">
        <v>2388</v>
      </c>
      <c r="B398" t="str">
        <f t="shared" ca="1" si="72"/>
        <v>23- 51- 12</v>
      </c>
      <c r="C398" t="str">
        <f t="shared" ca="1" si="73"/>
        <v>.247 N</v>
      </c>
      <c r="D398" t="str">
        <f t="shared" ca="1" si="74"/>
        <v>nnnnn</v>
      </c>
      <c r="E398" t="str">
        <f t="shared" ca="1" si="75"/>
        <v>23- 51- 12nnnnn.247 N</v>
      </c>
      <c r="F398" t="str">
        <f t="shared" ca="1" si="76"/>
        <v>23- 51- 12nnnnn.247 N</v>
      </c>
      <c r="H398" t="s">
        <v>2882</v>
      </c>
      <c r="I398" t="str">
        <f t="shared" ca="1" si="77"/>
        <v>90- 29- 20.034 E</v>
      </c>
      <c r="J398" t="str">
        <f t="shared" ca="1" si="78"/>
        <v/>
      </c>
      <c r="K398" t="str">
        <f t="shared" ca="1" si="79"/>
        <v>VVVVV</v>
      </c>
      <c r="L398" t="str">
        <f t="shared" ca="1" si="80"/>
        <v>90- 29- 20.034 EVVVVV</v>
      </c>
      <c r="M398" t="str">
        <f t="shared" ca="1" si="81"/>
        <v>90- 29- 20.034 EVVVVV</v>
      </c>
      <c r="N398">
        <f t="shared" ca="1" si="82"/>
        <v>23.853401944444446</v>
      </c>
      <c r="O398">
        <f t="shared" ca="1" si="83"/>
        <v>90.488898333333339</v>
      </c>
    </row>
    <row r="399" spans="1:15" x14ac:dyDescent="0.3">
      <c r="A399" t="s">
        <v>2389</v>
      </c>
      <c r="B399" t="str">
        <f t="shared" ca="1" si="72"/>
        <v>23</v>
      </c>
      <c r="C399" t="str">
        <f t="shared" ca="1" si="73"/>
        <v>- 51- 12.822 N</v>
      </c>
      <c r="D399" t="str">
        <f t="shared" ca="1" si="74"/>
        <v>bb</v>
      </c>
      <c r="E399" t="str">
        <f t="shared" ca="1" si="75"/>
        <v>23bb- 51- 12.822 N</v>
      </c>
      <c r="F399" t="str">
        <f t="shared" ca="1" si="76"/>
        <v>23bb- 51- 12.822 N</v>
      </c>
      <c r="H399" t="s">
        <v>2883</v>
      </c>
      <c r="I399" t="str">
        <f t="shared" ca="1" si="77"/>
        <v>90- 29-</v>
      </c>
      <c r="J399" t="str">
        <f t="shared" ca="1" si="78"/>
        <v xml:space="preserve"> 55.354 E</v>
      </c>
      <c r="K399" t="str">
        <f t="shared" ca="1" si="79"/>
        <v>E</v>
      </c>
      <c r="L399" t="str">
        <f t="shared" ca="1" si="80"/>
        <v>90- 29-E 55.354 E</v>
      </c>
      <c r="M399" t="str">
        <f t="shared" ca="1" si="81"/>
        <v>90- 29-E 55.354 E</v>
      </c>
      <c r="N399">
        <f t="shared" ca="1" si="82"/>
        <v>23.853561666666668</v>
      </c>
      <c r="O399">
        <f t="shared" ca="1" si="83"/>
        <v>90.498709444444444</v>
      </c>
    </row>
    <row r="400" spans="1:15" x14ac:dyDescent="0.3">
      <c r="A400" t="s">
        <v>2390</v>
      </c>
      <c r="B400" t="str">
        <f t="shared" ca="1" si="72"/>
        <v>23- 51- 13.39</v>
      </c>
      <c r="C400" t="str">
        <f t="shared" ca="1" si="73"/>
        <v>5 N</v>
      </c>
      <c r="D400" t="str">
        <f t="shared" ca="1" si="74"/>
        <v>€€</v>
      </c>
      <c r="E400" t="str">
        <f t="shared" ca="1" si="75"/>
        <v>23- 51- 13.39€€5 N</v>
      </c>
      <c r="F400" t="str">
        <f t="shared" ca="1" si="76"/>
        <v>23- 51- 13.39€€5 N</v>
      </c>
      <c r="H400" t="s">
        <v>2884</v>
      </c>
      <c r="I400" t="str">
        <f t="shared" ca="1" si="77"/>
        <v>90-</v>
      </c>
      <c r="J400" t="str">
        <f t="shared" ca="1" si="78"/>
        <v xml:space="preserve"> 30- 30.675 E</v>
      </c>
      <c r="K400" t="str">
        <f t="shared" ca="1" si="79"/>
        <v>iii</v>
      </c>
      <c r="L400" t="str">
        <f t="shared" ca="1" si="80"/>
        <v>90-iii 30- 30.675 E</v>
      </c>
      <c r="M400" t="str">
        <f t="shared" ca="1" si="81"/>
        <v>90-iii 30- 30.675 E</v>
      </c>
      <c r="N400">
        <f t="shared" ca="1" si="82"/>
        <v>23.853720833333334</v>
      </c>
      <c r="O400">
        <f t="shared" ca="1" si="83"/>
        <v>90.508520833333336</v>
      </c>
    </row>
    <row r="401" spans="1:15" x14ac:dyDescent="0.3">
      <c r="A401" t="s">
        <v>2391</v>
      </c>
      <c r="B401" t="str">
        <f t="shared" ca="1" si="72"/>
        <v>23- 51- 3</v>
      </c>
      <c r="C401" t="str">
        <f t="shared" ca="1" si="73"/>
        <v>5.223 N</v>
      </c>
      <c r="D401" t="str">
        <f t="shared" ca="1" si="74"/>
        <v>UUUUU</v>
      </c>
      <c r="E401" t="str">
        <f t="shared" ca="1" si="75"/>
        <v>23- 51- 3UUUUU5.223 N</v>
      </c>
      <c r="F401" t="str">
        <f t="shared" ca="1" si="76"/>
        <v>23- 51- 3UUUUU5.223 N</v>
      </c>
      <c r="H401" t="s">
        <v>2885</v>
      </c>
      <c r="I401" t="str">
        <f t="shared" ca="1" si="77"/>
        <v>90- 19- 5</v>
      </c>
      <c r="J401" t="str">
        <f t="shared" ca="1" si="78"/>
        <v>4.283 E</v>
      </c>
      <c r="K401" t="str">
        <f t="shared" ca="1" si="79"/>
        <v>}}</v>
      </c>
      <c r="L401" t="str">
        <f t="shared" ca="1" si="80"/>
        <v>90- 19- 5}}4.283 E</v>
      </c>
      <c r="M401" t="str">
        <f t="shared" ca="1" si="81"/>
        <v>90- 19- 5}}4.283 E</v>
      </c>
      <c r="N401">
        <f t="shared" ca="1" si="82"/>
        <v>23.859784166666667</v>
      </c>
      <c r="O401">
        <f t="shared" ca="1" si="83"/>
        <v>90.33174527777777</v>
      </c>
    </row>
    <row r="402" spans="1:15" x14ac:dyDescent="0.3">
      <c r="A402" t="s">
        <v>2392</v>
      </c>
      <c r="B402" t="str">
        <f t="shared" ca="1" si="72"/>
        <v>23- 51- 3</v>
      </c>
      <c r="C402" t="str">
        <f t="shared" ca="1" si="73"/>
        <v>5.834 N</v>
      </c>
      <c r="D402" t="str">
        <f t="shared" ca="1" si="74"/>
        <v>CCC</v>
      </c>
      <c r="E402" t="str">
        <f t="shared" ca="1" si="75"/>
        <v>23- 51- 3CCC5.834 N</v>
      </c>
      <c r="F402" t="str">
        <f t="shared" ca="1" si="76"/>
        <v>23- 51- 3CCC5.834 N</v>
      </c>
      <c r="H402" t="s">
        <v>2886</v>
      </c>
      <c r="I402" t="str">
        <f t="shared" ca="1" si="77"/>
        <v>90- 20-</v>
      </c>
      <c r="J402" t="str">
        <f t="shared" ca="1" si="78"/>
        <v xml:space="preserve"> 29.601 E</v>
      </c>
      <c r="K402" t="str">
        <f t="shared" ca="1" si="79"/>
        <v>```</v>
      </c>
      <c r="L402" t="str">
        <f t="shared" ca="1" si="80"/>
        <v>90- 20-``` 29.601 E</v>
      </c>
      <c r="M402" t="str">
        <f t="shared" ca="1" si="81"/>
        <v>90- 20-``` 29.601 E</v>
      </c>
      <c r="N402">
        <f t="shared" ca="1" si="82"/>
        <v>23.859953888888889</v>
      </c>
      <c r="O402">
        <f t="shared" ca="1" si="83"/>
        <v>90.341555833333331</v>
      </c>
    </row>
    <row r="403" spans="1:15" x14ac:dyDescent="0.3">
      <c r="A403" t="s">
        <v>2393</v>
      </c>
      <c r="B403" t="str">
        <f t="shared" ca="1" si="72"/>
        <v>23- 51- 36.443</v>
      </c>
      <c r="C403" t="str">
        <f t="shared" ca="1" si="73"/>
        <v xml:space="preserve"> N</v>
      </c>
      <c r="D403" t="str">
        <f t="shared" ca="1" si="74"/>
        <v>ddddd</v>
      </c>
      <c r="E403" t="str">
        <f t="shared" ca="1" si="75"/>
        <v>23- 51- 36.443ddddd N</v>
      </c>
      <c r="F403" t="str">
        <f t="shared" ca="1" si="76"/>
        <v>23- 51- 36.443ddddd N</v>
      </c>
      <c r="H403" t="s">
        <v>2887</v>
      </c>
      <c r="I403" t="str">
        <f t="shared" ca="1" si="77"/>
        <v xml:space="preserve">90- 21- 4.919 </v>
      </c>
      <c r="J403" t="str">
        <f t="shared" ca="1" si="78"/>
        <v>E</v>
      </c>
      <c r="K403" t="str">
        <f t="shared" ca="1" si="79"/>
        <v>t</v>
      </c>
      <c r="L403" t="str">
        <f t="shared" ca="1" si="80"/>
        <v>90- 21- 4.919 tE</v>
      </c>
      <c r="M403" t="str">
        <f t="shared" ca="1" si="81"/>
        <v>90- 21- 4.919 tE</v>
      </c>
      <c r="N403">
        <f t="shared" ca="1" si="82"/>
        <v>23.860123055555558</v>
      </c>
      <c r="O403">
        <f t="shared" ca="1" si="83"/>
        <v>90.351366388888877</v>
      </c>
    </row>
    <row r="404" spans="1:15" x14ac:dyDescent="0.3">
      <c r="A404" t="s">
        <v>2394</v>
      </c>
      <c r="B404" t="str">
        <f t="shared" ca="1" si="72"/>
        <v>23- 51- 37.0</v>
      </c>
      <c r="C404" t="str">
        <f t="shared" ca="1" si="73"/>
        <v>49 N</v>
      </c>
      <c r="D404" t="str">
        <f t="shared" ca="1" si="74"/>
        <v>ddddd</v>
      </c>
      <c r="E404" t="str">
        <f t="shared" ca="1" si="75"/>
        <v>23- 51- 37.0ddddd49 N</v>
      </c>
      <c r="F404" t="str">
        <f t="shared" ca="1" si="76"/>
        <v>23- 51- 37.0ddddd49 N</v>
      </c>
      <c r="H404" t="s">
        <v>2888</v>
      </c>
      <c r="I404" t="str">
        <f t="shared" ca="1" si="77"/>
        <v>90- 21- 40</v>
      </c>
      <c r="J404" t="str">
        <f t="shared" ca="1" si="78"/>
        <v>.238 E</v>
      </c>
      <c r="K404" t="str">
        <f t="shared" ca="1" si="79"/>
        <v>ZZZZ</v>
      </c>
      <c r="L404" t="str">
        <f t="shared" ca="1" si="80"/>
        <v>90- 21- 40ZZZZ.238 E</v>
      </c>
      <c r="M404" t="str">
        <f t="shared" ca="1" si="81"/>
        <v>90- 21- 40ZZZZ.238 E</v>
      </c>
      <c r="N404">
        <f t="shared" ca="1" si="82"/>
        <v>23.860291388888889</v>
      </c>
      <c r="O404">
        <f t="shared" ca="1" si="83"/>
        <v>90.36117722222221</v>
      </c>
    </row>
    <row r="405" spans="1:15" x14ac:dyDescent="0.3">
      <c r="A405" t="s">
        <v>2395</v>
      </c>
      <c r="B405" t="str">
        <f t="shared" ca="1" si="72"/>
        <v>23</v>
      </c>
      <c r="C405" t="str">
        <f t="shared" ca="1" si="73"/>
        <v>- 51- 37.654 N</v>
      </c>
      <c r="D405" t="str">
        <f t="shared" ca="1" si="74"/>
        <v>GGG</v>
      </c>
      <c r="E405" t="str">
        <f t="shared" ca="1" si="75"/>
        <v>23GGG- 51- 37.654 N</v>
      </c>
      <c r="F405" t="str">
        <f t="shared" ca="1" si="76"/>
        <v>23GGG- 51- 37.654 N</v>
      </c>
      <c r="H405" t="s">
        <v>2889</v>
      </c>
      <c r="I405" t="str">
        <f t="shared" ca="1" si="77"/>
        <v xml:space="preserve">90- </v>
      </c>
      <c r="J405" t="str">
        <f t="shared" ca="1" si="78"/>
        <v>22- 15.557 E</v>
      </c>
      <c r="K405" t="str">
        <f t="shared" ca="1" si="79"/>
        <v>DD</v>
      </c>
      <c r="L405" t="str">
        <f t="shared" ca="1" si="80"/>
        <v>90- DD22- 15.557 E</v>
      </c>
      <c r="M405" t="str">
        <f t="shared" ca="1" si="81"/>
        <v>90- DD22- 15.557 E</v>
      </c>
      <c r="N405">
        <f t="shared" ca="1" si="82"/>
        <v>23.860459444444444</v>
      </c>
      <c r="O405">
        <f t="shared" ca="1" si="83"/>
        <v>90.370988055555543</v>
      </c>
    </row>
    <row r="406" spans="1:15" x14ac:dyDescent="0.3">
      <c r="A406" t="s">
        <v>2396</v>
      </c>
      <c r="B406" t="str">
        <f t="shared" ca="1" si="72"/>
        <v>23- 51- 38.256 N</v>
      </c>
      <c r="C406" t="str">
        <f t="shared" ca="1" si="73"/>
        <v/>
      </c>
      <c r="D406" t="str">
        <f t="shared" ca="1" si="74"/>
        <v>O</v>
      </c>
      <c r="E406" t="str">
        <f t="shared" ca="1" si="75"/>
        <v>23- 51- 38.256 NO</v>
      </c>
      <c r="F406" t="str">
        <f t="shared" ca="1" si="76"/>
        <v>23- 51- 38.256 NO</v>
      </c>
      <c r="H406" t="s">
        <v>2890</v>
      </c>
      <c r="I406" t="str">
        <f t="shared" ca="1" si="77"/>
        <v>90- 22- 50.87</v>
      </c>
      <c r="J406" t="str">
        <f t="shared" ca="1" si="78"/>
        <v>6 E</v>
      </c>
      <c r="K406" t="str">
        <f t="shared" ca="1" si="79"/>
        <v>v</v>
      </c>
      <c r="L406" t="str">
        <f t="shared" ca="1" si="80"/>
        <v>90- 22- 50.87v6 E</v>
      </c>
      <c r="M406" t="str">
        <f t="shared" ca="1" si="81"/>
        <v>90- 22- 50.87v6 E</v>
      </c>
      <c r="N406">
        <f t="shared" ca="1" si="82"/>
        <v>23.860626666666668</v>
      </c>
      <c r="O406">
        <f t="shared" ca="1" si="83"/>
        <v>90.380798888888876</v>
      </c>
    </row>
    <row r="407" spans="1:15" x14ac:dyDescent="0.3">
      <c r="A407" t="s">
        <v>2397</v>
      </c>
      <c r="B407" t="str">
        <f t="shared" ca="1" si="72"/>
        <v>23- 5</v>
      </c>
      <c r="C407" t="str">
        <f t="shared" ca="1" si="73"/>
        <v>1- 38.856 N</v>
      </c>
      <c r="D407" t="str">
        <f t="shared" ca="1" si="74"/>
        <v>EE</v>
      </c>
      <c r="E407" t="str">
        <f t="shared" ca="1" si="75"/>
        <v>23- 5EE1- 38.856 N</v>
      </c>
      <c r="F407" t="str">
        <f t="shared" ca="1" si="76"/>
        <v>23- 5EE1- 38.856 N</v>
      </c>
      <c r="H407" t="s">
        <v>2891</v>
      </c>
      <c r="I407" t="str">
        <f t="shared" ca="1" si="77"/>
        <v>90- 23- 2</v>
      </c>
      <c r="J407" t="str">
        <f t="shared" ca="1" si="78"/>
        <v>6.195 E</v>
      </c>
      <c r="K407" t="str">
        <f t="shared" ca="1" si="79"/>
        <v>ff</v>
      </c>
      <c r="L407" t="str">
        <f t="shared" ca="1" si="80"/>
        <v>90- 23- 2ff6.195 E</v>
      </c>
      <c r="M407" t="str">
        <f t="shared" ca="1" si="81"/>
        <v>90- 23- 2ff6.195 E</v>
      </c>
      <c r="N407">
        <f t="shared" ca="1" si="82"/>
        <v>23.860793333333334</v>
      </c>
      <c r="O407">
        <f t="shared" ca="1" si="83"/>
        <v>90.390609722222223</v>
      </c>
    </row>
    <row r="408" spans="1:15" x14ac:dyDescent="0.3">
      <c r="A408" t="s">
        <v>2398</v>
      </c>
      <c r="B408" t="str">
        <f t="shared" ca="1" si="72"/>
        <v>23- 51- 39.454</v>
      </c>
      <c r="C408" t="str">
        <f t="shared" ca="1" si="73"/>
        <v xml:space="preserve"> N</v>
      </c>
      <c r="D408" t="str">
        <f t="shared" ca="1" si="74"/>
        <v></v>
      </c>
      <c r="E408" t="str">
        <f t="shared" ca="1" si="75"/>
        <v>23- 51- 39.454 N</v>
      </c>
      <c r="F408" t="str">
        <f t="shared" ca="1" si="76"/>
        <v>23- 51- 39.454 N</v>
      </c>
      <c r="H408" t="s">
        <v>2892</v>
      </c>
      <c r="I408" t="str">
        <f t="shared" ca="1" si="77"/>
        <v>90- 24-</v>
      </c>
      <c r="J408" t="str">
        <f t="shared" ca="1" si="78"/>
        <v xml:space="preserve"> 1.515 E</v>
      </c>
      <c r="K408" t="str">
        <f t="shared" ca="1" si="79"/>
        <v>E</v>
      </c>
      <c r="L408" t="str">
        <f t="shared" ca="1" si="80"/>
        <v>90- 24-E 1.515 E</v>
      </c>
      <c r="M408" t="str">
        <f t="shared" ca="1" si="81"/>
        <v>90- 24-E 1.515 E</v>
      </c>
      <c r="N408">
        <f t="shared" ca="1" si="82"/>
        <v>23.860959444444447</v>
      </c>
      <c r="O408">
        <f t="shared" ca="1" si="83"/>
        <v>90.400420833333342</v>
      </c>
    </row>
    <row r="409" spans="1:15" x14ac:dyDescent="0.3">
      <c r="A409" t="s">
        <v>2399</v>
      </c>
      <c r="B409" t="str">
        <f t="shared" ca="1" si="72"/>
        <v>23- 51- 4</v>
      </c>
      <c r="C409" t="str">
        <f t="shared" ca="1" si="73"/>
        <v>0.049 N</v>
      </c>
      <c r="D409" t="str">
        <f t="shared" ca="1" si="74"/>
        <v>jjj</v>
      </c>
      <c r="E409" t="str">
        <f t="shared" ca="1" si="75"/>
        <v>23- 51- 4jjj0.049 N</v>
      </c>
      <c r="F409" t="str">
        <f t="shared" ca="1" si="76"/>
        <v>23- 51- 4jjj0.049 N</v>
      </c>
      <c r="H409" t="s">
        <v>2893</v>
      </c>
      <c r="I409" t="str">
        <f t="shared" ca="1" si="77"/>
        <v>9</v>
      </c>
      <c r="J409" t="str">
        <f t="shared" ca="1" si="78"/>
        <v>0- 24- 36.835 E</v>
      </c>
      <c r="K409" t="str">
        <f t="shared" ca="1" si="79"/>
        <v>}}</v>
      </c>
      <c r="L409" t="str">
        <f t="shared" ca="1" si="80"/>
        <v>9}}0- 24- 36.835 E</v>
      </c>
      <c r="M409" t="str">
        <f t="shared" ca="1" si="81"/>
        <v>9}}0- 24- 36.835 E</v>
      </c>
      <c r="N409">
        <f t="shared" ca="1" si="82"/>
        <v>23.861124722222225</v>
      </c>
      <c r="O409">
        <f t="shared" ca="1" si="83"/>
        <v>90.410231944444448</v>
      </c>
    </row>
    <row r="410" spans="1:15" x14ac:dyDescent="0.3">
      <c r="A410" t="s">
        <v>2400</v>
      </c>
      <c r="B410" t="str">
        <f t="shared" ca="1" si="72"/>
        <v>23- 51- 40.</v>
      </c>
      <c r="C410" t="str">
        <f t="shared" ca="1" si="73"/>
        <v>643 N</v>
      </c>
      <c r="D410" t="str">
        <f t="shared" ca="1" si="74"/>
        <v>aaaaa</v>
      </c>
      <c r="E410" t="str">
        <f t="shared" ca="1" si="75"/>
        <v>23- 51- 40.aaaaa643 N</v>
      </c>
      <c r="F410" t="str">
        <f t="shared" ca="1" si="76"/>
        <v>23- 51- 40.aaaaa643 N</v>
      </c>
      <c r="H410" t="s">
        <v>2894</v>
      </c>
      <c r="I410" t="str">
        <f t="shared" ca="1" si="77"/>
        <v xml:space="preserve">90- 25- 12.155 </v>
      </c>
      <c r="J410" t="str">
        <f t="shared" ca="1" si="78"/>
        <v>E</v>
      </c>
      <c r="K410" t="str">
        <f t="shared" ca="1" si="79"/>
        <v>nnn</v>
      </c>
      <c r="L410" t="str">
        <f t="shared" ca="1" si="80"/>
        <v>90- 25- 12.155 nnnE</v>
      </c>
      <c r="M410" t="str">
        <f t="shared" ca="1" si="81"/>
        <v>90- 25- 12.155 nnnE</v>
      </c>
      <c r="N410">
        <f t="shared" ca="1" si="82"/>
        <v>23.861289722222224</v>
      </c>
      <c r="O410">
        <f t="shared" ca="1" si="83"/>
        <v>90.420043055555567</v>
      </c>
    </row>
    <row r="411" spans="1:15" x14ac:dyDescent="0.3">
      <c r="A411" t="s">
        <v>2401</v>
      </c>
      <c r="B411" t="str">
        <f t="shared" ca="1" si="72"/>
        <v xml:space="preserve">23- </v>
      </c>
      <c r="C411" t="str">
        <f t="shared" ca="1" si="73"/>
        <v>51- 41.234 N</v>
      </c>
      <c r="D411" t="str">
        <f t="shared" ca="1" si="74"/>
        <v>t</v>
      </c>
      <c r="E411" t="str">
        <f t="shared" ca="1" si="75"/>
        <v>23- t51- 41.234 N</v>
      </c>
      <c r="F411" t="str">
        <f t="shared" ca="1" si="76"/>
        <v>23- t51- 41.234 N</v>
      </c>
      <c r="H411" t="s">
        <v>2895</v>
      </c>
      <c r="I411" t="str">
        <f t="shared" ca="1" si="77"/>
        <v xml:space="preserve">90- 25- </v>
      </c>
      <c r="J411" t="str">
        <f t="shared" ca="1" si="78"/>
        <v>47.476 E</v>
      </c>
      <c r="K411" t="str">
        <f t="shared" ca="1" si="79"/>
        <v>TTTT</v>
      </c>
      <c r="L411" t="str">
        <f t="shared" ca="1" si="80"/>
        <v>90- 25- TTTT47.476 E</v>
      </c>
      <c r="M411" t="str">
        <f t="shared" ca="1" si="81"/>
        <v>90- 25- TTTT47.476 E</v>
      </c>
      <c r="N411">
        <f t="shared" ca="1" si="82"/>
        <v>23.861453888888889</v>
      </c>
      <c r="O411">
        <f t="shared" ca="1" si="83"/>
        <v>90.429854444444445</v>
      </c>
    </row>
    <row r="412" spans="1:15" x14ac:dyDescent="0.3">
      <c r="A412" t="s">
        <v>2402</v>
      </c>
      <c r="B412" t="str">
        <f t="shared" ca="1" si="72"/>
        <v>23- 5</v>
      </c>
      <c r="C412" t="str">
        <f t="shared" ca="1" si="73"/>
        <v>1- 41.822 N</v>
      </c>
      <c r="D412" t="str">
        <f t="shared" ca="1" si="74"/>
        <v>XXXX</v>
      </c>
      <c r="E412" t="str">
        <f t="shared" ca="1" si="75"/>
        <v>23- 5XXXX1- 41.822 N</v>
      </c>
      <c r="F412" t="str">
        <f t="shared" ca="1" si="76"/>
        <v>23- 5XXXX1- 41.822 N</v>
      </c>
      <c r="H412" t="s">
        <v>2896</v>
      </c>
      <c r="I412" t="str">
        <f t="shared" ca="1" si="77"/>
        <v>9</v>
      </c>
      <c r="J412" t="str">
        <f t="shared" ca="1" si="78"/>
        <v>0- 26- 22.77 E</v>
      </c>
      <c r="K412" t="str">
        <f t="shared" ca="1" si="79"/>
        <v>www</v>
      </c>
      <c r="L412" t="str">
        <f t="shared" ca="1" si="80"/>
        <v>9www0- 26- 22.77 E</v>
      </c>
      <c r="M412" t="str">
        <f t="shared" ca="1" si="81"/>
        <v>9www0- 26- 22.77 E</v>
      </c>
      <c r="N412">
        <f t="shared" ca="1" si="82"/>
        <v>23.861617222222225</v>
      </c>
      <c r="O412">
        <f t="shared" ca="1" si="83"/>
        <v>90.439658333333341</v>
      </c>
    </row>
    <row r="413" spans="1:15" x14ac:dyDescent="0.3">
      <c r="A413" t="s">
        <v>2403</v>
      </c>
      <c r="B413" t="str">
        <f t="shared" ca="1" si="72"/>
        <v>23- 51- 42.4</v>
      </c>
      <c r="C413" t="str">
        <f t="shared" ca="1" si="73"/>
        <v>09 N</v>
      </c>
      <c r="D413" t="str">
        <f t="shared" ca="1" si="74"/>
        <v>QQQ</v>
      </c>
      <c r="E413" t="str">
        <f t="shared" ca="1" si="75"/>
        <v>23- 51- 42.4QQQ09 N</v>
      </c>
      <c r="F413" t="str">
        <f t="shared" ca="1" si="76"/>
        <v>23- 51- 42.4QQQ09 N</v>
      </c>
      <c r="H413" t="s">
        <v>2897</v>
      </c>
      <c r="I413" t="str">
        <f t="shared" ca="1" si="77"/>
        <v>90- 26- 58.1</v>
      </c>
      <c r="J413" t="str">
        <f t="shared" ca="1" si="78"/>
        <v>19 E</v>
      </c>
      <c r="K413" t="str">
        <f t="shared" ca="1" si="79"/>
        <v>ll</v>
      </c>
      <c r="L413" t="str">
        <f t="shared" ca="1" si="80"/>
        <v>90- 26- 58.1ll19 E</v>
      </c>
      <c r="M413" t="str">
        <f t="shared" ca="1" si="81"/>
        <v>90- 26- 58.1ll19 E</v>
      </c>
      <c r="N413">
        <f t="shared" ca="1" si="82"/>
        <v>23.861780277777779</v>
      </c>
      <c r="O413">
        <f t="shared" ca="1" si="83"/>
        <v>90.4494775</v>
      </c>
    </row>
    <row r="414" spans="1:15" x14ac:dyDescent="0.3">
      <c r="A414" t="s">
        <v>2404</v>
      </c>
      <c r="B414" t="str">
        <f t="shared" ca="1" si="72"/>
        <v>23- 51</v>
      </c>
      <c r="C414" t="str">
        <f t="shared" ca="1" si="73"/>
        <v>- 42.993 N</v>
      </c>
      <c r="D414" t="str">
        <f t="shared" ca="1" si="74"/>
        <v>\\</v>
      </c>
      <c r="E414" t="str">
        <f t="shared" ca="1" si="75"/>
        <v>23- 51\\- 42.993 N</v>
      </c>
      <c r="F414" t="str">
        <f t="shared" ca="1" si="76"/>
        <v>23- 51\\- 42.993 N</v>
      </c>
      <c r="H414" t="s">
        <v>2898</v>
      </c>
      <c r="I414" t="str">
        <f t="shared" ca="1" si="77"/>
        <v>90- 27- 33.440</v>
      </c>
      <c r="J414" t="str">
        <f t="shared" ca="1" si="78"/>
        <v xml:space="preserve"> E</v>
      </c>
      <c r="K414" t="str">
        <f t="shared" ca="1" si="79"/>
        <v>wwww</v>
      </c>
      <c r="L414" t="str">
        <f t="shared" ca="1" si="80"/>
        <v>90- 27- 33.440wwww E</v>
      </c>
      <c r="M414" t="str">
        <f t="shared" ca="1" si="81"/>
        <v>90- 27- 33.440wwww E</v>
      </c>
      <c r="N414">
        <f t="shared" ca="1" si="82"/>
        <v>23.861942500000001</v>
      </c>
      <c r="O414">
        <f t="shared" ca="1" si="83"/>
        <v>90.459288888888892</v>
      </c>
    </row>
    <row r="415" spans="1:15" x14ac:dyDescent="0.3">
      <c r="A415" t="s">
        <v>2405</v>
      </c>
      <c r="B415" t="str">
        <f t="shared" ca="1" si="72"/>
        <v xml:space="preserve">23- 51- </v>
      </c>
      <c r="C415" t="str">
        <f t="shared" ca="1" si="73"/>
        <v>43.575 N</v>
      </c>
      <c r="D415" t="str">
        <f t="shared" ca="1" si="74"/>
        <v>H</v>
      </c>
      <c r="E415" t="str">
        <f t="shared" ca="1" si="75"/>
        <v>23- 51- H43.575 N</v>
      </c>
      <c r="F415" t="str">
        <f t="shared" ca="1" si="76"/>
        <v>23- 51- H43.575 N</v>
      </c>
      <c r="H415" t="s">
        <v>2899</v>
      </c>
      <c r="I415" t="str">
        <f t="shared" ca="1" si="77"/>
        <v>90- 28-</v>
      </c>
      <c r="J415" t="str">
        <f t="shared" ca="1" si="78"/>
        <v xml:space="preserve"> 8.762 E</v>
      </c>
      <c r="K415" t="str">
        <f t="shared" ca="1" si="79"/>
        <v>V</v>
      </c>
      <c r="L415" t="str">
        <f t="shared" ca="1" si="80"/>
        <v>90- 28-V 8.762 E</v>
      </c>
      <c r="M415" t="str">
        <f t="shared" ca="1" si="81"/>
        <v>90- 28-V 8.762 E</v>
      </c>
      <c r="N415">
        <f t="shared" ca="1" si="82"/>
        <v>23.862104166666668</v>
      </c>
      <c r="O415">
        <f t="shared" ca="1" si="83"/>
        <v>90.469100555555556</v>
      </c>
    </row>
    <row r="416" spans="1:15" x14ac:dyDescent="0.3">
      <c r="A416" t="s">
        <v>2406</v>
      </c>
      <c r="B416" t="str">
        <f t="shared" ca="1" si="72"/>
        <v xml:space="preserve">23- 51- 44.155 </v>
      </c>
      <c r="C416" t="str">
        <f t="shared" ca="1" si="73"/>
        <v>N</v>
      </c>
      <c r="D416" t="str">
        <f t="shared" ca="1" si="74"/>
        <v>h</v>
      </c>
      <c r="E416" t="str">
        <f t="shared" ca="1" si="75"/>
        <v>23- 51- 44.155 hN</v>
      </c>
      <c r="F416" t="str">
        <f t="shared" ca="1" si="76"/>
        <v>23- 51- 44.155 hN</v>
      </c>
      <c r="H416" t="s">
        <v>2900</v>
      </c>
      <c r="I416" t="str">
        <f t="shared" ca="1" si="77"/>
        <v>90- 2</v>
      </c>
      <c r="J416" t="str">
        <f t="shared" ca="1" si="78"/>
        <v>8- 44.085 E</v>
      </c>
      <c r="K416" t="str">
        <f t="shared" ca="1" si="79"/>
        <v>€</v>
      </c>
      <c r="L416" t="str">
        <f t="shared" ca="1" si="80"/>
        <v>90- 2€8- 44.085 E</v>
      </c>
      <c r="M416" t="str">
        <f t="shared" ca="1" si="81"/>
        <v>90- 2€8- 44.085 E</v>
      </c>
      <c r="N416">
        <f t="shared" ca="1" si="82"/>
        <v>23.86226527777778</v>
      </c>
      <c r="O416">
        <f t="shared" ca="1" si="83"/>
        <v>90.478912500000007</v>
      </c>
    </row>
    <row r="417" spans="1:15" x14ac:dyDescent="0.3">
      <c r="A417" t="s">
        <v>2407</v>
      </c>
      <c r="B417" t="str">
        <f t="shared" ca="1" si="72"/>
        <v>23</v>
      </c>
      <c r="C417" t="str">
        <f t="shared" ca="1" si="73"/>
        <v>- 51- 44.732 N</v>
      </c>
      <c r="D417" t="str">
        <f t="shared" ca="1" si="74"/>
        <v>SSSS</v>
      </c>
      <c r="E417" t="str">
        <f t="shared" ca="1" si="75"/>
        <v>23SSSS- 51- 44.732 N</v>
      </c>
      <c r="F417" t="str">
        <f t="shared" ca="1" si="76"/>
        <v>23SSSS- 51- 44.732 N</v>
      </c>
      <c r="H417" t="s">
        <v>2901</v>
      </c>
      <c r="I417" t="str">
        <f t="shared" ca="1" si="77"/>
        <v>90- 29- 19</v>
      </c>
      <c r="J417" t="str">
        <f t="shared" ca="1" si="78"/>
        <v>.407 E</v>
      </c>
      <c r="K417" t="str">
        <f t="shared" ca="1" si="79"/>
        <v>Y</v>
      </c>
      <c r="L417" t="str">
        <f t="shared" ca="1" si="80"/>
        <v>90- 29- 19Y.407 E</v>
      </c>
      <c r="M417" t="str">
        <f t="shared" ca="1" si="81"/>
        <v>90- 29- 19Y.407 E</v>
      </c>
      <c r="N417">
        <f t="shared" ca="1" si="82"/>
        <v>23.862425555555557</v>
      </c>
      <c r="O417">
        <f t="shared" ca="1" si="83"/>
        <v>90.488724166666671</v>
      </c>
    </row>
    <row r="418" spans="1:15" x14ac:dyDescent="0.3">
      <c r="A418" t="s">
        <v>2408</v>
      </c>
      <c r="B418" t="str">
        <f t="shared" ca="1" si="72"/>
        <v>2</v>
      </c>
      <c r="C418" t="str">
        <f t="shared" ca="1" si="73"/>
        <v>3- 51- 45.307 N</v>
      </c>
      <c r="D418" t="str">
        <f t="shared" ca="1" si="74"/>
        <v>eeee</v>
      </c>
      <c r="E418" t="str">
        <f t="shared" ca="1" si="75"/>
        <v>2eeee3- 51- 45.307 N</v>
      </c>
      <c r="F418" t="str">
        <f t="shared" ca="1" si="76"/>
        <v>2eeee3- 51- 45.307 N</v>
      </c>
      <c r="H418" t="s">
        <v>2902</v>
      </c>
      <c r="I418" t="str">
        <f t="shared" ca="1" si="77"/>
        <v xml:space="preserve">90- </v>
      </c>
      <c r="J418" t="str">
        <f t="shared" ca="1" si="78"/>
        <v>29- 54.730 E</v>
      </c>
      <c r="K418" t="str">
        <f t="shared" ca="1" si="79"/>
        <v>OOOOO</v>
      </c>
      <c r="L418" t="str">
        <f t="shared" ca="1" si="80"/>
        <v>90- OOOOO29- 54.730 E</v>
      </c>
      <c r="M418" t="str">
        <f t="shared" ca="1" si="81"/>
        <v>90- OOOOO29- 54.730 E</v>
      </c>
      <c r="N418">
        <f t="shared" ca="1" si="82"/>
        <v>23.862585277777779</v>
      </c>
      <c r="O418">
        <f t="shared" ca="1" si="83"/>
        <v>90.498536111111108</v>
      </c>
    </row>
    <row r="419" spans="1:15" x14ac:dyDescent="0.3">
      <c r="A419" t="s">
        <v>2409</v>
      </c>
      <c r="B419" t="str">
        <f t="shared" ca="1" si="72"/>
        <v xml:space="preserve">23- </v>
      </c>
      <c r="C419" t="str">
        <f t="shared" ca="1" si="73"/>
        <v>51- 45.880 N</v>
      </c>
      <c r="D419" t="str">
        <f t="shared" ca="1" si="74"/>
        <v>QQQQ</v>
      </c>
      <c r="E419" t="str">
        <f t="shared" ca="1" si="75"/>
        <v>23- QQQQ51- 45.880 N</v>
      </c>
      <c r="F419" t="str">
        <f t="shared" ca="1" si="76"/>
        <v>23- QQQQ51- 45.880 N</v>
      </c>
      <c r="H419" t="s">
        <v>2903</v>
      </c>
      <c r="I419" t="str">
        <f t="shared" ca="1" si="77"/>
        <v xml:space="preserve">90- 30- 30.053 </v>
      </c>
      <c r="J419" t="str">
        <f t="shared" ca="1" si="78"/>
        <v>E</v>
      </c>
      <c r="K419" t="str">
        <f t="shared" ca="1" si="79"/>
        <v>J</v>
      </c>
      <c r="L419" t="str">
        <f t="shared" ca="1" si="80"/>
        <v>90- 30- 30.053 JE</v>
      </c>
      <c r="M419" t="str">
        <f t="shared" ca="1" si="81"/>
        <v>90- 30- 30.053 JE</v>
      </c>
      <c r="N419">
        <f t="shared" ca="1" si="82"/>
        <v>23.862744444444445</v>
      </c>
      <c r="O419">
        <f t="shared" ca="1" si="83"/>
        <v>90.508348055555558</v>
      </c>
    </row>
    <row r="420" spans="1:15" x14ac:dyDescent="0.3">
      <c r="A420" t="s">
        <v>2410</v>
      </c>
      <c r="B420" t="str">
        <f t="shared" ca="1" si="72"/>
        <v>23- 5</v>
      </c>
      <c r="C420" t="str">
        <f t="shared" ca="1" si="73"/>
        <v>2- 7.704 N</v>
      </c>
      <c r="D420" t="str">
        <f t="shared" ca="1" si="74"/>
        <v>UUUU</v>
      </c>
      <c r="E420" t="str">
        <f t="shared" ca="1" si="75"/>
        <v>23- 5UUUU2- 7.704 N</v>
      </c>
      <c r="F420" t="str">
        <f t="shared" ca="1" si="76"/>
        <v>23- 5UUUU2- 7.704 N</v>
      </c>
      <c r="H420" t="s">
        <v>2904</v>
      </c>
      <c r="I420" t="str">
        <f t="shared" ca="1" si="77"/>
        <v>90- 19- 53</v>
      </c>
      <c r="J420" t="str">
        <f t="shared" ca="1" si="78"/>
        <v>.617 E</v>
      </c>
      <c r="K420" t="str">
        <f t="shared" ca="1" si="79"/>
        <v>~~</v>
      </c>
      <c r="L420" t="str">
        <f t="shared" ca="1" si="80"/>
        <v>90- 19- 53~~.617 E</v>
      </c>
      <c r="M420" t="str">
        <f t="shared" ca="1" si="81"/>
        <v>90- 19- 53~~.617 E</v>
      </c>
      <c r="N420">
        <f t="shared" ca="1" si="82"/>
        <v>23.868806666666668</v>
      </c>
      <c r="O420">
        <f t="shared" ca="1" si="83"/>
        <v>90.331560277777768</v>
      </c>
    </row>
    <row r="421" spans="1:15" x14ac:dyDescent="0.3">
      <c r="A421" t="s">
        <v>2411</v>
      </c>
      <c r="B421" t="str">
        <f t="shared" ca="1" si="72"/>
        <v>23- 52- 8.3</v>
      </c>
      <c r="C421" t="str">
        <f t="shared" ca="1" si="73"/>
        <v>15 N</v>
      </c>
      <c r="D421" t="str">
        <f t="shared" ca="1" si="74"/>
        <v>]]]]</v>
      </c>
      <c r="E421" t="str">
        <f t="shared" ca="1" si="75"/>
        <v>23- 52- 8.3]]]]15 N</v>
      </c>
      <c r="F421" t="str">
        <f t="shared" ca="1" si="76"/>
        <v>23- 52- 8.3]]]]15 N</v>
      </c>
      <c r="H421" t="s">
        <v>2905</v>
      </c>
      <c r="I421" t="str">
        <f t="shared" ca="1" si="77"/>
        <v xml:space="preserve">90- 20- 28.938 </v>
      </c>
      <c r="J421" t="str">
        <f t="shared" ca="1" si="78"/>
        <v>E</v>
      </c>
      <c r="K421" t="str">
        <f t="shared" ca="1" si="79"/>
        <v>LLLLL</v>
      </c>
      <c r="L421" t="str">
        <f t="shared" ca="1" si="80"/>
        <v>90- 20- 28.938 LLLLLE</v>
      </c>
      <c r="M421" t="str">
        <f t="shared" ca="1" si="81"/>
        <v>90- 20- 28.938 LLLLLE</v>
      </c>
      <c r="N421">
        <f t="shared" ca="1" si="82"/>
        <v>23.868976388888889</v>
      </c>
      <c r="O421">
        <f t="shared" ca="1" si="83"/>
        <v>90.34137166666666</v>
      </c>
    </row>
    <row r="422" spans="1:15" x14ac:dyDescent="0.3">
      <c r="A422" t="s">
        <v>2412</v>
      </c>
      <c r="B422" t="str">
        <f t="shared" ca="1" si="72"/>
        <v>23- 52</v>
      </c>
      <c r="C422" t="str">
        <f t="shared" ca="1" si="73"/>
        <v>- 8.925 N</v>
      </c>
      <c r="D422" t="str">
        <f t="shared" ca="1" si="74"/>
        <v>nnn</v>
      </c>
      <c r="E422" t="str">
        <f t="shared" ca="1" si="75"/>
        <v>23- 52nnn- 8.925 N</v>
      </c>
      <c r="F422" t="str">
        <f t="shared" ca="1" si="76"/>
        <v>23- 52nnn- 8.925 N</v>
      </c>
      <c r="H422" t="s">
        <v>2906</v>
      </c>
      <c r="I422" t="str">
        <f t="shared" ca="1" si="77"/>
        <v>90- 21- 4</v>
      </c>
      <c r="J422" t="str">
        <f t="shared" ca="1" si="78"/>
        <v>.258 E</v>
      </c>
      <c r="K422" t="str">
        <f t="shared" ca="1" si="79"/>
        <v>HH</v>
      </c>
      <c r="L422" t="str">
        <f t="shared" ca="1" si="80"/>
        <v>90- 21- 4HH.258 E</v>
      </c>
      <c r="M422" t="str">
        <f t="shared" ca="1" si="81"/>
        <v>90- 21- 4HH.258 E</v>
      </c>
      <c r="N422">
        <f t="shared" ca="1" si="82"/>
        <v>23.869145833333334</v>
      </c>
      <c r="O422">
        <f t="shared" ca="1" si="83"/>
        <v>90.351182777777765</v>
      </c>
    </row>
    <row r="423" spans="1:15" x14ac:dyDescent="0.3">
      <c r="A423" t="s">
        <v>2413</v>
      </c>
      <c r="B423" t="str">
        <f t="shared" ca="1" si="72"/>
        <v>2</v>
      </c>
      <c r="C423" t="str">
        <f t="shared" ca="1" si="73"/>
        <v>3- 5- 9.53 N</v>
      </c>
      <c r="D423" t="str">
        <f t="shared" ca="1" si="74"/>
        <v>aaa</v>
      </c>
      <c r="E423" t="str">
        <f t="shared" ca="1" si="75"/>
        <v>2aaa3- 5- 9.53 N</v>
      </c>
      <c r="F423" t="str">
        <f t="shared" ca="1" si="76"/>
        <v>2aaa3- 5- 9.53 N</v>
      </c>
      <c r="H423" t="s">
        <v>2907</v>
      </c>
      <c r="I423" t="str">
        <f t="shared" ca="1" si="77"/>
        <v xml:space="preserve">90- 21- 39.579 </v>
      </c>
      <c r="J423" t="str">
        <f t="shared" ca="1" si="78"/>
        <v>E</v>
      </c>
      <c r="K423" t="str">
        <f t="shared" ca="1" si="79"/>
        <v>l</v>
      </c>
      <c r="L423" t="str">
        <f t="shared" ca="1" si="80"/>
        <v>90- 21- 39.579 lE</v>
      </c>
      <c r="M423" t="str">
        <f t="shared" ca="1" si="81"/>
        <v>90- 21- 39.579 lE</v>
      </c>
      <c r="N423">
        <f t="shared" ca="1" si="82"/>
        <v>23.085980555555555</v>
      </c>
      <c r="O423">
        <f t="shared" ca="1" si="83"/>
        <v>90.360994166666657</v>
      </c>
    </row>
    <row r="424" spans="1:15" x14ac:dyDescent="0.3">
      <c r="A424" t="s">
        <v>2414</v>
      </c>
      <c r="B424" t="str">
        <f t="shared" ca="1" si="72"/>
        <v xml:space="preserve">23- 52- </v>
      </c>
      <c r="C424" t="str">
        <f t="shared" ca="1" si="73"/>
        <v>10.136 N</v>
      </c>
      <c r="D424" t="str">
        <f t="shared" ca="1" si="74"/>
        <v>dddd</v>
      </c>
      <c r="E424" t="str">
        <f t="shared" ca="1" si="75"/>
        <v>23- 52- dddd10.136 N</v>
      </c>
      <c r="F424" t="str">
        <f t="shared" ca="1" si="76"/>
        <v>23- 52- dddd10.136 N</v>
      </c>
      <c r="H424" t="s">
        <v>2908</v>
      </c>
      <c r="I424" t="str">
        <f t="shared" ca="1" si="77"/>
        <v>90</v>
      </c>
      <c r="J424" t="str">
        <f t="shared" ca="1" si="78"/>
        <v>- 22- 14.0 E</v>
      </c>
      <c r="K424" t="str">
        <f t="shared" ca="1" si="79"/>
        <v>JJ</v>
      </c>
      <c r="L424" t="str">
        <f t="shared" ca="1" si="80"/>
        <v>90JJ- 22- 14.0 E</v>
      </c>
      <c r="M424" t="str">
        <f t="shared" ca="1" si="81"/>
        <v>90JJ- 22- 14.0 E</v>
      </c>
      <c r="N424">
        <f t="shared" ca="1" si="82"/>
        <v>23.869482222222224</v>
      </c>
      <c r="O424">
        <f t="shared" ca="1" si="83"/>
        <v>90.370555555555555</v>
      </c>
    </row>
    <row r="425" spans="1:15" x14ac:dyDescent="0.3">
      <c r="A425" t="s">
        <v>2415</v>
      </c>
      <c r="B425" t="str">
        <f t="shared" ca="1" si="72"/>
        <v>23- 52- 10.7</v>
      </c>
      <c r="C425" t="str">
        <f t="shared" ca="1" si="73"/>
        <v>39 N</v>
      </c>
      <c r="D425" t="str">
        <f t="shared" ca="1" si="74"/>
        <v>`</v>
      </c>
      <c r="E425" t="str">
        <f t="shared" ca="1" si="75"/>
        <v>23- 52- 10.7`39 N</v>
      </c>
      <c r="F425" t="str">
        <f t="shared" ca="1" si="76"/>
        <v>23- 52- 10.7`39 N</v>
      </c>
      <c r="H425" t="s">
        <v>2909</v>
      </c>
      <c r="I425" t="str">
        <f t="shared" ca="1" si="77"/>
        <v>90- 22- 5</v>
      </c>
      <c r="J425" t="str">
        <f t="shared" ca="1" si="78"/>
        <v>0.222 E</v>
      </c>
      <c r="K425" t="str">
        <f t="shared" ca="1" si="79"/>
        <v>e</v>
      </c>
      <c r="L425" t="str">
        <f t="shared" ca="1" si="80"/>
        <v>90- 22- 5e0.222 E</v>
      </c>
      <c r="M425" t="str">
        <f t="shared" ca="1" si="81"/>
        <v>90- 22- 5e0.222 E</v>
      </c>
      <c r="N425">
        <f t="shared" ca="1" si="82"/>
        <v>23.869649722222224</v>
      </c>
      <c r="O425">
        <f t="shared" ca="1" si="83"/>
        <v>90.380617222222213</v>
      </c>
    </row>
    <row r="426" spans="1:15" x14ac:dyDescent="0.3">
      <c r="A426" t="s">
        <v>2416</v>
      </c>
      <c r="B426" t="str">
        <f t="shared" ca="1" si="72"/>
        <v xml:space="preserve">23- 52- 11.339 </v>
      </c>
      <c r="C426" t="str">
        <f t="shared" ca="1" si="73"/>
        <v>N</v>
      </c>
      <c r="D426" t="str">
        <f t="shared" ca="1" si="74"/>
        <v>II</v>
      </c>
      <c r="E426" t="str">
        <f t="shared" ca="1" si="75"/>
        <v>23- 52- 11.339 IIN</v>
      </c>
      <c r="F426" t="str">
        <f t="shared" ca="1" si="76"/>
        <v>23- 52- 11.339 IIN</v>
      </c>
      <c r="H426" t="s">
        <v>2910</v>
      </c>
      <c r="I426" t="str">
        <f t="shared" ca="1" si="77"/>
        <v>90- 23- 2</v>
      </c>
      <c r="J426" t="str">
        <f t="shared" ca="1" si="78"/>
        <v>5.544 E</v>
      </c>
      <c r="K426" t="str">
        <f t="shared" ca="1" si="79"/>
        <v>TT</v>
      </c>
      <c r="L426" t="str">
        <f t="shared" ca="1" si="80"/>
        <v>90- 23- 2TT5.544 E</v>
      </c>
      <c r="M426" t="str">
        <f t="shared" ca="1" si="81"/>
        <v>90- 23- 2TT5.544 E</v>
      </c>
      <c r="N426">
        <f t="shared" ca="1" si="82"/>
        <v>23.869816388888889</v>
      </c>
      <c r="O426">
        <f t="shared" ca="1" si="83"/>
        <v>90.390428888888891</v>
      </c>
    </row>
    <row r="427" spans="1:15" x14ac:dyDescent="0.3">
      <c r="A427" t="s">
        <v>2417</v>
      </c>
      <c r="B427" t="str">
        <f t="shared" ca="1" si="72"/>
        <v>23- 52- 11.937 N</v>
      </c>
      <c r="C427" t="str">
        <f t="shared" ca="1" si="73"/>
        <v/>
      </c>
      <c r="D427" t="str">
        <f t="shared" ca="1" si="74"/>
        <v>IIII</v>
      </c>
      <c r="E427" t="str">
        <f t="shared" ca="1" si="75"/>
        <v>23- 52- 11.937 NIIII</v>
      </c>
      <c r="F427" t="str">
        <f t="shared" ca="1" si="76"/>
        <v>23- 52- 11.937 NIIII</v>
      </c>
      <c r="H427" t="s">
        <v>2911</v>
      </c>
      <c r="I427" t="str">
        <f t="shared" ca="1" si="77"/>
        <v>90-</v>
      </c>
      <c r="J427" t="str">
        <f t="shared" ca="1" si="78"/>
        <v xml:space="preserve"> 24- 0.866 E</v>
      </c>
      <c r="K427" t="str">
        <f t="shared" ca="1" si="79"/>
        <v>OOOO</v>
      </c>
      <c r="L427" t="str">
        <f t="shared" ca="1" si="80"/>
        <v>90-OOOO 24- 0.866 E</v>
      </c>
      <c r="M427" t="str">
        <f t="shared" ca="1" si="81"/>
        <v>90-OOOO 24- 0.866 E</v>
      </c>
      <c r="N427">
        <f t="shared" ca="1" si="82"/>
        <v>23.869982499999999</v>
      </c>
      <c r="O427">
        <f t="shared" ca="1" si="83"/>
        <v>90.400240555555555</v>
      </c>
    </row>
    <row r="428" spans="1:15" x14ac:dyDescent="0.3">
      <c r="A428" t="s">
        <v>2418</v>
      </c>
      <c r="B428" t="str">
        <f t="shared" ca="1" si="72"/>
        <v xml:space="preserve">23- 52- 12.533 </v>
      </c>
      <c r="C428" t="str">
        <f t="shared" ca="1" si="73"/>
        <v>N</v>
      </c>
      <c r="D428" t="str">
        <f t="shared" ca="1" si="74"/>
        <v>yyy</v>
      </c>
      <c r="E428" t="str">
        <f t="shared" ca="1" si="75"/>
        <v>23- 52- 12.533 yyyN</v>
      </c>
      <c r="F428" t="str">
        <f t="shared" ca="1" si="76"/>
        <v>23- 52- 12.533 yyyN</v>
      </c>
      <c r="H428" t="s">
        <v>2912</v>
      </c>
      <c r="I428" t="str">
        <f t="shared" ca="1" si="77"/>
        <v>9</v>
      </c>
      <c r="J428" t="str">
        <f t="shared" ca="1" si="78"/>
        <v>0- 24- 36.18 E</v>
      </c>
      <c r="K428" t="str">
        <f t="shared" ca="1" si="79"/>
        <v>`````</v>
      </c>
      <c r="L428" t="str">
        <f t="shared" ca="1" si="80"/>
        <v>9`````0- 24- 36.18 E</v>
      </c>
      <c r="M428" t="str">
        <f t="shared" ca="1" si="81"/>
        <v>9`````0- 24- 36.18 E</v>
      </c>
      <c r="N428">
        <f t="shared" ca="1" si="82"/>
        <v>23.870148055555557</v>
      </c>
      <c r="O428">
        <f t="shared" ca="1" si="83"/>
        <v>90.410050000000012</v>
      </c>
    </row>
    <row r="429" spans="1:15" x14ac:dyDescent="0.3">
      <c r="A429" t="s">
        <v>2419</v>
      </c>
      <c r="B429" t="str">
        <f t="shared" ca="1" si="72"/>
        <v>23- 52- 13.1</v>
      </c>
      <c r="C429" t="str">
        <f t="shared" ca="1" si="73"/>
        <v>26 N</v>
      </c>
      <c r="D429" t="str">
        <f t="shared" ca="1" si="74"/>
        <v>uuuu</v>
      </c>
      <c r="E429" t="str">
        <f t="shared" ca="1" si="75"/>
        <v>23- 52- 13.1uuuu26 N</v>
      </c>
      <c r="F429" t="str">
        <f t="shared" ca="1" si="76"/>
        <v>23- 52- 13.1uuuu26 N</v>
      </c>
      <c r="H429" t="s">
        <v>2913</v>
      </c>
      <c r="I429" t="str">
        <f t="shared" ca="1" si="77"/>
        <v>90- 25- 11.5</v>
      </c>
      <c r="J429" t="str">
        <f t="shared" ca="1" si="78"/>
        <v>11 E</v>
      </c>
      <c r="K429" t="str">
        <f t="shared" ca="1" si="79"/>
        <v>ZZZZZ</v>
      </c>
      <c r="L429" t="str">
        <f t="shared" ca="1" si="80"/>
        <v>90- 25- 11.5ZZZZZ11 E</v>
      </c>
      <c r="M429" t="str">
        <f t="shared" ca="1" si="81"/>
        <v>90- 25- 11.5ZZZZZ11 E</v>
      </c>
      <c r="N429">
        <f t="shared" ca="1" si="82"/>
        <v>23.870312777777777</v>
      </c>
      <c r="O429">
        <f t="shared" ca="1" si="83"/>
        <v>90.41986416666667</v>
      </c>
    </row>
    <row r="430" spans="1:15" x14ac:dyDescent="0.3">
      <c r="A430" t="s">
        <v>2420</v>
      </c>
      <c r="B430" t="str">
        <f t="shared" ca="1" si="72"/>
        <v>23- 52- 13.717</v>
      </c>
      <c r="C430" t="str">
        <f t="shared" ca="1" si="73"/>
        <v xml:space="preserve"> N</v>
      </c>
      <c r="D430" t="str">
        <f t="shared" ca="1" si="74"/>
        <v>g</v>
      </c>
      <c r="E430" t="str">
        <f t="shared" ca="1" si="75"/>
        <v>23- 52- 13.717g N</v>
      </c>
      <c r="F430" t="str">
        <f t="shared" ca="1" si="76"/>
        <v>23- 52- 13.717g N</v>
      </c>
      <c r="H430" t="s">
        <v>2914</v>
      </c>
      <c r="I430" t="str">
        <f t="shared" ca="1" si="77"/>
        <v>9</v>
      </c>
      <c r="J430" t="str">
        <f t="shared" ca="1" si="78"/>
        <v>0- 25- 46.835 E</v>
      </c>
      <c r="K430" t="str">
        <f t="shared" ca="1" si="79"/>
        <v>MMM</v>
      </c>
      <c r="L430" t="str">
        <f t="shared" ca="1" si="80"/>
        <v>9MMM0- 25- 46.835 E</v>
      </c>
      <c r="M430" t="str">
        <f t="shared" ca="1" si="81"/>
        <v>9MMM0- 25- 46.835 E</v>
      </c>
      <c r="N430">
        <f t="shared" ca="1" si="82"/>
        <v>23.870476944444444</v>
      </c>
      <c r="O430">
        <f t="shared" ca="1" si="83"/>
        <v>90.429676388888893</v>
      </c>
    </row>
    <row r="431" spans="1:15" x14ac:dyDescent="0.3">
      <c r="A431" t="s">
        <v>2421</v>
      </c>
      <c r="B431" t="str">
        <f t="shared" ca="1" si="72"/>
        <v>23- 52- 14.30</v>
      </c>
      <c r="C431" t="str">
        <f t="shared" ca="1" si="73"/>
        <v>6 N</v>
      </c>
      <c r="D431" t="str">
        <f t="shared" ca="1" si="74"/>
        <v>qqqq</v>
      </c>
      <c r="E431" t="str">
        <f t="shared" ca="1" si="75"/>
        <v>23- 52- 14.30qqqq6 N</v>
      </c>
      <c r="F431" t="str">
        <f t="shared" ca="1" si="76"/>
        <v>23- 52- 14.30qqqq6 N</v>
      </c>
      <c r="H431" t="s">
        <v>2915</v>
      </c>
      <c r="I431" t="str">
        <f t="shared" ca="1" si="77"/>
        <v>90- 26-</v>
      </c>
      <c r="J431" t="str">
        <f t="shared" ca="1" si="78"/>
        <v xml:space="preserve"> 22.158 E</v>
      </c>
      <c r="K431" t="str">
        <f t="shared" ca="1" si="79"/>
        <v>[[[</v>
      </c>
      <c r="L431" t="str">
        <f t="shared" ca="1" si="80"/>
        <v>90- 26-[[[ 22.158 E</v>
      </c>
      <c r="M431" t="str">
        <f t="shared" ca="1" si="81"/>
        <v>90- 26-[[[ 22.158 E</v>
      </c>
      <c r="N431">
        <f t="shared" ca="1" si="82"/>
        <v>23.870640555555557</v>
      </c>
      <c r="O431">
        <f t="shared" ca="1" si="83"/>
        <v>90.439488333333344</v>
      </c>
    </row>
    <row r="432" spans="1:15" x14ac:dyDescent="0.3">
      <c r="A432" t="s">
        <v>2422</v>
      </c>
      <c r="B432" t="str">
        <f t="shared" ca="1" si="72"/>
        <v>23- 52-</v>
      </c>
      <c r="C432" t="str">
        <f t="shared" ca="1" si="73"/>
        <v xml:space="preserve"> 14.893 N</v>
      </c>
      <c r="D432" t="str">
        <f t="shared" ca="1" si="74"/>
        <v>oo</v>
      </c>
      <c r="E432" t="str">
        <f t="shared" ca="1" si="75"/>
        <v>23- 52-oo 14.893 N</v>
      </c>
      <c r="F432" t="str">
        <f t="shared" ca="1" si="76"/>
        <v>23- 52-oo 14.893 N</v>
      </c>
      <c r="H432" t="s">
        <v>2916</v>
      </c>
      <c r="I432" t="str">
        <f t="shared" ca="1" si="77"/>
        <v xml:space="preserve">90- </v>
      </c>
      <c r="J432" t="str">
        <f t="shared" ca="1" si="78"/>
        <v>26- 57.482 E</v>
      </c>
      <c r="K432" t="str">
        <f t="shared" ca="1" si="79"/>
        <v>ddddd</v>
      </c>
      <c r="L432" t="str">
        <f t="shared" ca="1" si="80"/>
        <v>90- ddddd26- 57.482 E</v>
      </c>
      <c r="M432" t="str">
        <f t="shared" ca="1" si="81"/>
        <v>90- ddddd26- 57.482 E</v>
      </c>
      <c r="N432">
        <f t="shared" ca="1" si="82"/>
        <v>23.870803611111111</v>
      </c>
      <c r="O432">
        <f t="shared" ca="1" si="83"/>
        <v>90.449300555555553</v>
      </c>
    </row>
    <row r="433" spans="1:15" x14ac:dyDescent="0.3">
      <c r="A433" t="s">
        <v>2423</v>
      </c>
      <c r="B433" t="str">
        <f t="shared" ca="1" si="72"/>
        <v xml:space="preserve">23- 52- </v>
      </c>
      <c r="C433" t="str">
        <f t="shared" ca="1" si="73"/>
        <v>15.478 N</v>
      </c>
      <c r="D433" t="str">
        <f t="shared" ca="1" si="74"/>
        <v>qq</v>
      </c>
      <c r="E433" t="str">
        <f t="shared" ca="1" si="75"/>
        <v>23- 52- qq15.478 N</v>
      </c>
      <c r="F433" t="str">
        <f t="shared" ca="1" si="76"/>
        <v>23- 52- qq15.478 N</v>
      </c>
      <c r="H433" t="s">
        <v>2917</v>
      </c>
      <c r="I433" t="str">
        <f t="shared" ca="1" si="77"/>
        <v>90- 27- 32.806 E</v>
      </c>
      <c r="J433" t="str">
        <f t="shared" ca="1" si="78"/>
        <v/>
      </c>
      <c r="K433" t="str">
        <f t="shared" ca="1" si="79"/>
        <v>^^^</v>
      </c>
      <c r="L433" t="str">
        <f t="shared" ca="1" si="80"/>
        <v>90- 27- 32.806 E^^^</v>
      </c>
      <c r="M433" t="str">
        <f t="shared" ca="1" si="81"/>
        <v>90- 27- 32.806 E^^^</v>
      </c>
      <c r="N433">
        <f t="shared" ca="1" si="82"/>
        <v>23.870966111111112</v>
      </c>
      <c r="O433">
        <f t="shared" ca="1" si="83"/>
        <v>90.459112777777776</v>
      </c>
    </row>
    <row r="434" spans="1:15" x14ac:dyDescent="0.3">
      <c r="A434" t="s">
        <v>2424</v>
      </c>
      <c r="B434" t="str">
        <f t="shared" ca="1" si="72"/>
        <v>23- 52- 16.060</v>
      </c>
      <c r="C434" t="str">
        <f t="shared" ca="1" si="73"/>
        <v xml:space="preserve"> N</v>
      </c>
      <c r="D434" t="str">
        <f t="shared" ca="1" si="74"/>
        <v>hhhh</v>
      </c>
      <c r="E434" t="str">
        <f t="shared" ca="1" si="75"/>
        <v>23- 52- 16.060hhhh N</v>
      </c>
      <c r="F434" t="str">
        <f t="shared" ca="1" si="76"/>
        <v>23- 52- 16.060hhhh N</v>
      </c>
      <c r="H434" t="s">
        <v>2918</v>
      </c>
      <c r="I434" t="str">
        <f t="shared" ca="1" si="77"/>
        <v xml:space="preserve">90- 28- 8.131 </v>
      </c>
      <c r="J434" t="str">
        <f t="shared" ca="1" si="78"/>
        <v>E</v>
      </c>
      <c r="K434" t="str">
        <f t="shared" ca="1" si="79"/>
        <v>aaaaa</v>
      </c>
      <c r="L434" t="str">
        <f t="shared" ca="1" si="80"/>
        <v>90- 28- 8.131 aaaaaE</v>
      </c>
      <c r="M434" t="str">
        <f t="shared" ca="1" si="81"/>
        <v>90- 28- 8.131 aaaaaE</v>
      </c>
      <c r="N434">
        <f t="shared" ca="1" si="82"/>
        <v>23.871127777777779</v>
      </c>
      <c r="O434">
        <f t="shared" ca="1" si="83"/>
        <v>90.468925277777785</v>
      </c>
    </row>
    <row r="435" spans="1:15" x14ac:dyDescent="0.3">
      <c r="A435" t="s">
        <v>2425</v>
      </c>
      <c r="B435" t="str">
        <f t="shared" ca="1" si="72"/>
        <v xml:space="preserve">23- 52- 16.640 </v>
      </c>
      <c r="C435" t="str">
        <f t="shared" ca="1" si="73"/>
        <v>N</v>
      </c>
      <c r="D435" t="str">
        <f t="shared" ca="1" si="74"/>
        <v>F</v>
      </c>
      <c r="E435" t="str">
        <f t="shared" ca="1" si="75"/>
        <v>23- 52- 16.640 FN</v>
      </c>
      <c r="F435" t="str">
        <f t="shared" ca="1" si="76"/>
        <v>23- 52- 16.640 FN</v>
      </c>
      <c r="H435" t="s">
        <v>2919</v>
      </c>
      <c r="I435" t="str">
        <f t="shared" ca="1" si="77"/>
        <v>90</v>
      </c>
      <c r="J435" t="str">
        <f t="shared" ca="1" si="78"/>
        <v>- 28- 43.455 E</v>
      </c>
      <c r="K435" t="str">
        <f t="shared" ca="1" si="79"/>
        <v>yyyy</v>
      </c>
      <c r="L435" t="str">
        <f t="shared" ca="1" si="80"/>
        <v>90yyyy- 28- 43.455 E</v>
      </c>
      <c r="M435" t="str">
        <f t="shared" ca="1" si="81"/>
        <v>90yyyy- 28- 43.455 E</v>
      </c>
      <c r="N435">
        <f t="shared" ca="1" si="82"/>
        <v>23.871288888888888</v>
      </c>
      <c r="O435">
        <f t="shared" ca="1" si="83"/>
        <v>90.478737500000008</v>
      </c>
    </row>
    <row r="436" spans="1:15" x14ac:dyDescent="0.3">
      <c r="A436" t="s">
        <v>2426</v>
      </c>
      <c r="B436" t="str">
        <f t="shared" ca="1" si="72"/>
        <v>23- 52</v>
      </c>
      <c r="C436" t="str">
        <f t="shared" ca="1" si="73"/>
        <v>- 17.218 N</v>
      </c>
      <c r="D436" t="str">
        <f t="shared" ca="1" si="74"/>
        <v>cccc</v>
      </c>
      <c r="E436" t="str">
        <f t="shared" ca="1" si="75"/>
        <v>23- 52cccc- 17.218 N</v>
      </c>
      <c r="F436" t="str">
        <f t="shared" ca="1" si="76"/>
        <v>23- 52cccc- 17.218 N</v>
      </c>
      <c r="H436" t="s">
        <v>2920</v>
      </c>
      <c r="I436" t="str">
        <f t="shared" ca="1" si="77"/>
        <v>90- 29- 1</v>
      </c>
      <c r="J436" t="str">
        <f t="shared" ca="1" si="78"/>
        <v>8.780 E</v>
      </c>
      <c r="K436" t="str">
        <f t="shared" ca="1" si="79"/>
        <v>TT</v>
      </c>
      <c r="L436" t="str">
        <f t="shared" ca="1" si="80"/>
        <v>90- 29- 1TT8.780 E</v>
      </c>
      <c r="M436" t="str">
        <f t="shared" ca="1" si="81"/>
        <v>90- 29- 1TT8.780 E</v>
      </c>
      <c r="N436">
        <f t="shared" ca="1" si="82"/>
        <v>23.871449444444444</v>
      </c>
      <c r="O436">
        <f t="shared" ca="1" si="83"/>
        <v>90.488550000000004</v>
      </c>
    </row>
    <row r="437" spans="1:15" x14ac:dyDescent="0.3">
      <c r="A437" t="s">
        <v>2427</v>
      </c>
      <c r="B437" t="str">
        <f t="shared" ca="1" si="72"/>
        <v>23- 52</v>
      </c>
      <c r="C437" t="str">
        <f t="shared" ca="1" si="73"/>
        <v>- 17.793 N</v>
      </c>
      <c r="D437" t="str">
        <f t="shared" ca="1" si="74"/>
        <v>`````</v>
      </c>
      <c r="E437" t="str">
        <f t="shared" ca="1" si="75"/>
        <v>23- 52`````- 17.793 N</v>
      </c>
      <c r="F437" t="str">
        <f t="shared" ca="1" si="76"/>
        <v>23- 52`````- 17.793 N</v>
      </c>
      <c r="H437" t="s">
        <v>2921</v>
      </c>
      <c r="I437" t="str">
        <f t="shared" ca="1" si="77"/>
        <v>90- 29- 54.</v>
      </c>
      <c r="J437" t="str">
        <f t="shared" ca="1" si="78"/>
        <v>106 E</v>
      </c>
      <c r="K437" t="str">
        <f t="shared" ca="1" si="79"/>
        <v>||</v>
      </c>
      <c r="L437" t="str">
        <f t="shared" ca="1" si="80"/>
        <v>90- 29- 54.||106 E</v>
      </c>
      <c r="M437" t="str">
        <f t="shared" ca="1" si="81"/>
        <v>90- 29- 54.||106 E</v>
      </c>
      <c r="N437">
        <f t="shared" ca="1" si="82"/>
        <v>23.871609166666666</v>
      </c>
      <c r="O437">
        <f t="shared" ca="1" si="83"/>
        <v>90.498362777777785</v>
      </c>
    </row>
    <row r="438" spans="1:15" x14ac:dyDescent="0.3">
      <c r="A438" t="s">
        <v>2428</v>
      </c>
      <c r="B438" t="str">
        <f t="shared" ca="1" si="72"/>
        <v>23- 52- 18</v>
      </c>
      <c r="C438" t="str">
        <f t="shared" ca="1" si="73"/>
        <v>.366 N</v>
      </c>
      <c r="D438" t="str">
        <f t="shared" ca="1" si="74"/>
        <v>[</v>
      </c>
      <c r="E438" t="str">
        <f t="shared" ca="1" si="75"/>
        <v>23- 52- 18[.366 N</v>
      </c>
      <c r="F438" t="str">
        <f t="shared" ca="1" si="76"/>
        <v>23- 52- 18[.366 N</v>
      </c>
      <c r="H438" t="s">
        <v>2922</v>
      </c>
      <c r="I438" t="str">
        <f t="shared" ca="1" si="77"/>
        <v xml:space="preserve">90- 30- </v>
      </c>
      <c r="J438" t="str">
        <f t="shared" ca="1" si="78"/>
        <v>29.431 E</v>
      </c>
      <c r="K438" t="str">
        <f t="shared" ca="1" si="79"/>
        <v>nnn</v>
      </c>
      <c r="L438" t="str">
        <f t="shared" ca="1" si="80"/>
        <v>90- 30- nnn29.431 E</v>
      </c>
      <c r="M438" t="str">
        <f t="shared" ca="1" si="81"/>
        <v>90- 30- nnn29.431 E</v>
      </c>
      <c r="N438">
        <f t="shared" ca="1" si="82"/>
        <v>23.871768333333335</v>
      </c>
      <c r="O438">
        <f t="shared" ca="1" si="83"/>
        <v>90.508175277777781</v>
      </c>
    </row>
    <row r="439" spans="1:15" x14ac:dyDescent="0.3">
      <c r="A439" t="s">
        <v>2429</v>
      </c>
      <c r="B439" t="str">
        <f t="shared" ca="1" si="72"/>
        <v>23- 52</v>
      </c>
      <c r="C439" t="str">
        <f t="shared" ca="1" si="73"/>
        <v>- 40.185 N</v>
      </c>
      <c r="D439" t="str">
        <f t="shared" ca="1" si="74"/>
        <v>^^^^^</v>
      </c>
      <c r="E439" t="str">
        <f t="shared" ca="1" si="75"/>
        <v>23- 52^^^^^- 40.185 N</v>
      </c>
      <c r="F439" t="str">
        <f t="shared" ca="1" si="76"/>
        <v>23- 52^^^^^- 40.185 N</v>
      </c>
      <c r="H439" t="s">
        <v>2923</v>
      </c>
      <c r="I439" t="str">
        <f t="shared" ca="1" si="77"/>
        <v>90-</v>
      </c>
      <c r="J439" t="str">
        <f t="shared" ca="1" si="78"/>
        <v xml:space="preserve"> 19- 52.951 E</v>
      </c>
      <c r="K439" t="str">
        <f t="shared" ca="1" si="79"/>
        <v>M</v>
      </c>
      <c r="L439" t="str">
        <f t="shared" ca="1" si="80"/>
        <v>90-M 19- 52.951 E</v>
      </c>
      <c r="M439" t="str">
        <f t="shared" ca="1" si="81"/>
        <v>90-M 19- 52.951 E</v>
      </c>
      <c r="N439">
        <f t="shared" ca="1" si="82"/>
        <v>23.877829166666668</v>
      </c>
      <c r="O439">
        <f t="shared" ca="1" si="83"/>
        <v>90.331375277777781</v>
      </c>
    </row>
    <row r="440" spans="1:15" x14ac:dyDescent="0.3">
      <c r="A440" t="s">
        <v>2430</v>
      </c>
      <c r="B440" t="str">
        <f t="shared" ca="1" si="72"/>
        <v xml:space="preserve">23- 52- </v>
      </c>
      <c r="C440" t="str">
        <f t="shared" ca="1" si="73"/>
        <v>40.797 N</v>
      </c>
      <c r="D440" t="str">
        <f t="shared" ca="1" si="74"/>
        <v>XXX</v>
      </c>
      <c r="E440" t="str">
        <f t="shared" ca="1" si="75"/>
        <v>23- 52- XXX40.797 N</v>
      </c>
      <c r="F440" t="str">
        <f t="shared" ca="1" si="76"/>
        <v>23- 52- XXX40.797 N</v>
      </c>
      <c r="H440" t="s">
        <v>2924</v>
      </c>
      <c r="I440" t="str">
        <f t="shared" ca="1" si="77"/>
        <v>90- 20- 28.27</v>
      </c>
      <c r="J440" t="str">
        <f t="shared" ca="1" si="78"/>
        <v>4 E</v>
      </c>
      <c r="K440" t="str">
        <f t="shared" ca="1" si="79"/>
        <v>ww</v>
      </c>
      <c r="L440" t="str">
        <f t="shared" ca="1" si="80"/>
        <v>90- 20- 28.27ww4 E</v>
      </c>
      <c r="M440" t="str">
        <f t="shared" ca="1" si="81"/>
        <v>90- 20- 28.27ww4 E</v>
      </c>
      <c r="N440">
        <f t="shared" ca="1" si="82"/>
        <v>23.877999166666669</v>
      </c>
      <c r="O440">
        <f t="shared" ca="1" si="83"/>
        <v>90.341187222222217</v>
      </c>
    </row>
    <row r="441" spans="1:15" x14ac:dyDescent="0.3">
      <c r="A441" t="s">
        <v>2431</v>
      </c>
      <c r="B441" t="str">
        <f t="shared" ca="1" si="72"/>
        <v xml:space="preserve">23- 52- 41.407 </v>
      </c>
      <c r="C441" t="str">
        <f t="shared" ca="1" si="73"/>
        <v>N</v>
      </c>
      <c r="D441" t="str">
        <f t="shared" ca="1" si="74"/>
        <v>bbbb</v>
      </c>
      <c r="E441" t="str">
        <f t="shared" ca="1" si="75"/>
        <v>23- 52- 41.407 bbbbN</v>
      </c>
      <c r="F441" t="str">
        <f t="shared" ca="1" si="76"/>
        <v>23- 52- 41.407 bbbbN</v>
      </c>
      <c r="H441" t="s">
        <v>2925</v>
      </c>
      <c r="I441" t="str">
        <f t="shared" ca="1" si="77"/>
        <v xml:space="preserve">90- </v>
      </c>
      <c r="J441" t="str">
        <f t="shared" ca="1" si="78"/>
        <v>21- 3.597 E</v>
      </c>
      <c r="K441" t="str">
        <f t="shared" ca="1" si="79"/>
        <v>pp</v>
      </c>
      <c r="L441" t="str">
        <f t="shared" ca="1" si="80"/>
        <v>90- pp21- 3.597 E</v>
      </c>
      <c r="M441" t="str">
        <f t="shared" ca="1" si="81"/>
        <v>90- pp21- 3.597 E</v>
      </c>
      <c r="N441">
        <f t="shared" ca="1" si="82"/>
        <v>23.878168611111111</v>
      </c>
      <c r="O441">
        <f t="shared" ca="1" si="83"/>
        <v>90.350999166666668</v>
      </c>
    </row>
    <row r="442" spans="1:15" x14ac:dyDescent="0.3">
      <c r="A442" t="s">
        <v>2432</v>
      </c>
      <c r="B442" t="str">
        <f t="shared" ca="1" si="72"/>
        <v>2</v>
      </c>
      <c r="C442" t="str">
        <f t="shared" ca="1" si="73"/>
        <v>3- 5- 4.014 N</v>
      </c>
      <c r="D442" t="str">
        <f t="shared" ca="1" si="74"/>
        <v>k</v>
      </c>
      <c r="E442" t="str">
        <f t="shared" ca="1" si="75"/>
        <v>2k3- 5- 4.014 N</v>
      </c>
      <c r="F442" t="str">
        <f t="shared" ca="1" si="76"/>
        <v>2k3- 5- 4.014 N</v>
      </c>
      <c r="H442" t="s">
        <v>2926</v>
      </c>
      <c r="I442" t="str">
        <f t="shared" ca="1" si="77"/>
        <v>90- 21- 38.9</v>
      </c>
      <c r="J442" t="str">
        <f t="shared" ca="1" si="78"/>
        <v>20 E</v>
      </c>
      <c r="K442" t="str">
        <f t="shared" ca="1" si="79"/>
        <v>}</v>
      </c>
      <c r="L442" t="str">
        <f t="shared" ca="1" si="80"/>
        <v>90- 21- 38.9}20 E</v>
      </c>
      <c r="M442" t="str">
        <f t="shared" ca="1" si="81"/>
        <v>90- 21- 38.9}20 E</v>
      </c>
      <c r="N442">
        <f t="shared" ca="1" si="82"/>
        <v>23.084448333333331</v>
      </c>
      <c r="O442">
        <f t="shared" ca="1" si="83"/>
        <v>90.360811111111104</v>
      </c>
    </row>
    <row r="443" spans="1:15" x14ac:dyDescent="0.3">
      <c r="A443" t="s">
        <v>2433</v>
      </c>
      <c r="B443" t="str">
        <f t="shared" ca="1" si="72"/>
        <v>23- 52- 42.61</v>
      </c>
      <c r="C443" t="str">
        <f t="shared" ca="1" si="73"/>
        <v>9 N</v>
      </c>
      <c r="D443" t="str">
        <f t="shared" ca="1" si="74"/>
        <v>BBBBB</v>
      </c>
      <c r="E443" t="str">
        <f t="shared" ca="1" si="75"/>
        <v>23- 52- 42.61BBBBB9 N</v>
      </c>
      <c r="F443" t="str">
        <f t="shared" ca="1" si="76"/>
        <v>23- 52- 42.61BBBBB9 N</v>
      </c>
      <c r="H443" t="s">
        <v>2927</v>
      </c>
      <c r="I443" t="str">
        <f t="shared" ca="1" si="77"/>
        <v>90- 22- 14.</v>
      </c>
      <c r="J443" t="str">
        <f t="shared" ca="1" si="78"/>
        <v>244 E</v>
      </c>
      <c r="K443" t="str">
        <f t="shared" ca="1" si="79"/>
        <v></v>
      </c>
      <c r="L443" t="str">
        <f t="shared" ca="1" si="80"/>
        <v>90- 22- 14.244 E</v>
      </c>
      <c r="M443" t="str">
        <f t="shared" ca="1" si="81"/>
        <v>90- 22- 14.244 E</v>
      </c>
      <c r="N443">
        <f t="shared" ca="1" si="82"/>
        <v>23.87850527777778</v>
      </c>
      <c r="O443">
        <f t="shared" ca="1" si="83"/>
        <v>90.370623333333327</v>
      </c>
    </row>
    <row r="444" spans="1:15" x14ac:dyDescent="0.3">
      <c r="A444" t="s">
        <v>2434</v>
      </c>
      <c r="B444" t="str">
        <f t="shared" ca="1" si="72"/>
        <v>23- 52- 43.</v>
      </c>
      <c r="C444" t="str">
        <f t="shared" ca="1" si="73"/>
        <v>221 N</v>
      </c>
      <c r="D444" t="str">
        <f t="shared" ca="1" si="74"/>
        <v>CCC</v>
      </c>
      <c r="E444" t="str">
        <f t="shared" ca="1" si="75"/>
        <v>23- 52- 43.CCC221 N</v>
      </c>
      <c r="F444" t="str">
        <f t="shared" ca="1" si="76"/>
        <v>23- 52- 43.CCC221 N</v>
      </c>
      <c r="H444" t="s">
        <v>2928</v>
      </c>
      <c r="I444" t="str">
        <f t="shared" ca="1" si="77"/>
        <v>9</v>
      </c>
      <c r="J444" t="str">
        <f t="shared" ca="1" si="78"/>
        <v>0- 22- 4.568 E</v>
      </c>
      <c r="K444" t="str">
        <f t="shared" ca="1" si="79"/>
        <v>QQQQ</v>
      </c>
      <c r="L444" t="str">
        <f t="shared" ca="1" si="80"/>
        <v>9QQQQ0- 22- 4.568 E</v>
      </c>
      <c r="M444" t="str">
        <f t="shared" ca="1" si="81"/>
        <v>9QQQQ0- 22- 4.568 E</v>
      </c>
      <c r="N444">
        <f t="shared" ca="1" si="82"/>
        <v>23.8786725</v>
      </c>
      <c r="O444">
        <f t="shared" ca="1" si="83"/>
        <v>90.367935555555547</v>
      </c>
    </row>
    <row r="445" spans="1:15" x14ac:dyDescent="0.3">
      <c r="A445" t="s">
        <v>2435</v>
      </c>
      <c r="B445" t="str">
        <f t="shared" ca="1" si="72"/>
        <v xml:space="preserve">23- 52- </v>
      </c>
      <c r="C445" t="str">
        <f t="shared" ca="1" si="73"/>
        <v>43.822 N</v>
      </c>
      <c r="D445" t="str">
        <f t="shared" ca="1" si="74"/>
        <v>ttt</v>
      </c>
      <c r="E445" t="str">
        <f t="shared" ca="1" si="75"/>
        <v>23- 52- ttt43.822 N</v>
      </c>
      <c r="F445" t="str">
        <f t="shared" ca="1" si="76"/>
        <v>23- 52- ttt43.822 N</v>
      </c>
      <c r="H445" t="s">
        <v>2929</v>
      </c>
      <c r="I445" t="str">
        <f t="shared" ca="1" si="77"/>
        <v>90- 23- 24</v>
      </c>
      <c r="J445" t="str">
        <f t="shared" ca="1" si="78"/>
        <v>.892 E</v>
      </c>
      <c r="K445" t="str">
        <f t="shared" ca="1" si="79"/>
        <v>RRRRR</v>
      </c>
      <c r="L445" t="str">
        <f t="shared" ca="1" si="80"/>
        <v>90- 23- 24RRRRR.892 E</v>
      </c>
      <c r="M445" t="str">
        <f t="shared" ca="1" si="81"/>
        <v>90- 23- 24RRRRR.892 E</v>
      </c>
      <c r="N445">
        <f t="shared" ca="1" si="82"/>
        <v>23.878839444444445</v>
      </c>
      <c r="O445">
        <f t="shared" ca="1" si="83"/>
        <v>90.390247777777788</v>
      </c>
    </row>
    <row r="446" spans="1:15" x14ac:dyDescent="0.3">
      <c r="A446" t="s">
        <v>2436</v>
      </c>
      <c r="B446" t="str">
        <f t="shared" ca="1" si="72"/>
        <v>23- 52- 44</v>
      </c>
      <c r="C446" t="str">
        <f t="shared" ca="1" si="73"/>
        <v>.420 N</v>
      </c>
      <c r="D446" t="str">
        <f t="shared" ca="1" si="74"/>
        <v>HHHHH</v>
      </c>
      <c r="E446" t="str">
        <f t="shared" ca="1" si="75"/>
        <v>23- 52- 44HHHHH.420 N</v>
      </c>
      <c r="F446" t="str">
        <f t="shared" ca="1" si="76"/>
        <v>23- 52- 44HHHHH.420 N</v>
      </c>
      <c r="H446" t="s">
        <v>2930</v>
      </c>
      <c r="I446" t="str">
        <f t="shared" ca="1" si="77"/>
        <v>90- 24- 0.21</v>
      </c>
      <c r="J446" t="str">
        <f t="shared" ca="1" si="78"/>
        <v>7 E</v>
      </c>
      <c r="K446" t="str">
        <f t="shared" ca="1" si="79"/>
        <v>PPPP</v>
      </c>
      <c r="L446" t="str">
        <f t="shared" ca="1" si="80"/>
        <v>90- 24- 0.21PPPP7 E</v>
      </c>
      <c r="M446" t="str">
        <f t="shared" ca="1" si="81"/>
        <v>90- 24- 0.21PPPP7 E</v>
      </c>
      <c r="N446">
        <f t="shared" ca="1" si="82"/>
        <v>23.879005555555555</v>
      </c>
      <c r="O446">
        <f t="shared" ca="1" si="83"/>
        <v>90.400060277777783</v>
      </c>
    </row>
    <row r="447" spans="1:15" x14ac:dyDescent="0.3">
      <c r="A447" t="s">
        <v>2437</v>
      </c>
      <c r="B447" t="str">
        <f t="shared" ca="1" si="72"/>
        <v>23- 52-</v>
      </c>
      <c r="C447" t="str">
        <f t="shared" ca="1" si="73"/>
        <v xml:space="preserve"> 45.016 N</v>
      </c>
      <c r="D447" t="str">
        <f t="shared" ca="1" si="74"/>
        <v>xxxx</v>
      </c>
      <c r="E447" t="str">
        <f t="shared" ca="1" si="75"/>
        <v>23- 52-xxxx 45.016 N</v>
      </c>
      <c r="F447" t="str">
        <f t="shared" ca="1" si="76"/>
        <v>23- 52-xxxx 45.016 N</v>
      </c>
      <c r="H447" t="s">
        <v>2931</v>
      </c>
      <c r="I447" t="str">
        <f t="shared" ca="1" si="77"/>
        <v>90- 2</v>
      </c>
      <c r="J447" t="str">
        <f t="shared" ca="1" si="78"/>
        <v>4- 35.542 E</v>
      </c>
      <c r="K447" t="str">
        <f t="shared" ca="1" si="79"/>
        <v>N</v>
      </c>
      <c r="L447" t="str">
        <f t="shared" ca="1" si="80"/>
        <v>90- 2N4- 35.542 E</v>
      </c>
      <c r="M447" t="str">
        <f t="shared" ca="1" si="81"/>
        <v>90- 2N4- 35.542 E</v>
      </c>
      <c r="N447">
        <f t="shared" ca="1" si="82"/>
        <v>23.879171111111113</v>
      </c>
      <c r="O447">
        <f t="shared" ca="1" si="83"/>
        <v>90.409872777777778</v>
      </c>
    </row>
    <row r="448" spans="1:15" x14ac:dyDescent="0.3">
      <c r="A448" t="s">
        <v>2438</v>
      </c>
      <c r="B448" t="str">
        <f t="shared" ca="1" si="72"/>
        <v xml:space="preserve">23- 52- </v>
      </c>
      <c r="C448" t="str">
        <f t="shared" ca="1" si="73"/>
        <v>45.610 N</v>
      </c>
      <c r="D448" t="str">
        <f t="shared" ca="1" si="74"/>
        <v>T</v>
      </c>
      <c r="E448" t="str">
        <f t="shared" ca="1" si="75"/>
        <v>23- 52- T45.610 N</v>
      </c>
      <c r="F448" t="str">
        <f t="shared" ca="1" si="76"/>
        <v>23- 52- T45.610 N</v>
      </c>
      <c r="H448" t="s">
        <v>2932</v>
      </c>
      <c r="I448" t="str">
        <f t="shared" ca="1" si="77"/>
        <v>90- 25- 10.86</v>
      </c>
      <c r="J448" t="str">
        <f t="shared" ca="1" si="78"/>
        <v>7 E</v>
      </c>
      <c r="K448" t="str">
        <f t="shared" ca="1" si="79"/>
        <v>\\\\\</v>
      </c>
      <c r="L448" t="str">
        <f t="shared" ca="1" si="80"/>
        <v>90- 25- 10.86\\\\\7 E</v>
      </c>
      <c r="M448" t="str">
        <f t="shared" ca="1" si="81"/>
        <v>90- 25- 10.86\\\\\7 E</v>
      </c>
      <c r="N448">
        <f t="shared" ca="1" si="82"/>
        <v>23.879336111111112</v>
      </c>
      <c r="O448">
        <f t="shared" ca="1" si="83"/>
        <v>90.419685277777788</v>
      </c>
    </row>
    <row r="449" spans="1:15" x14ac:dyDescent="0.3">
      <c r="A449" t="s">
        <v>2439</v>
      </c>
      <c r="B449" t="str">
        <f t="shared" ca="1" si="72"/>
        <v>23- 52-</v>
      </c>
      <c r="C449" t="str">
        <f t="shared" ca="1" si="73"/>
        <v xml:space="preserve"> 46.201 N</v>
      </c>
      <c r="D449" t="str">
        <f t="shared" ca="1" si="74"/>
        <v>III</v>
      </c>
      <c r="E449" t="str">
        <f t="shared" ca="1" si="75"/>
        <v>23- 52-III 46.201 N</v>
      </c>
      <c r="F449" t="str">
        <f t="shared" ca="1" si="76"/>
        <v>23- 52-III 46.201 N</v>
      </c>
      <c r="H449" t="s">
        <v>2933</v>
      </c>
      <c r="I449" t="str">
        <f t="shared" ca="1" si="77"/>
        <v>90- 25- 46.193 E</v>
      </c>
      <c r="J449" t="str">
        <f t="shared" ca="1" si="78"/>
        <v/>
      </c>
      <c r="K449" t="str">
        <f t="shared" ca="1" si="79"/>
        <v>]]]</v>
      </c>
      <c r="L449" t="str">
        <f t="shared" ca="1" si="80"/>
        <v>90- 25- 46.193 E]]]</v>
      </c>
      <c r="M449" t="str">
        <f t="shared" ca="1" si="81"/>
        <v>90- 25- 46.193 E]]]</v>
      </c>
      <c r="N449">
        <f t="shared" ca="1" si="82"/>
        <v>23.87950027777778</v>
      </c>
      <c r="O449">
        <f t="shared" ca="1" si="83"/>
        <v>90.429498055555555</v>
      </c>
    </row>
    <row r="450" spans="1:15" x14ac:dyDescent="0.3">
      <c r="A450" t="s">
        <v>2440</v>
      </c>
      <c r="B450" t="str">
        <f t="shared" ref="B450:B495" ca="1" si="84">LEFT(A450,RANDBETWEEN(1,LEN(A450)))</f>
        <v>23- 52</v>
      </c>
      <c r="C450" t="str">
        <f t="shared" ref="C450:C495" ca="1" si="85">SUBSTITUTE(A450,B450,"")</f>
        <v>- 46.791 N</v>
      </c>
      <c r="D450" t="str">
        <f t="shared" ca="1" si="74"/>
        <v>rrrrr</v>
      </c>
      <c r="E450" t="str">
        <f t="shared" ca="1" si="75"/>
        <v>23- 52rrrrr- 46.791 N</v>
      </c>
      <c r="F450" t="str">
        <f t="shared" ca="1" si="76"/>
        <v>23- 52rrrrr- 46.791 N</v>
      </c>
      <c r="H450" t="s">
        <v>2934</v>
      </c>
      <c r="I450" t="str">
        <f t="shared" ca="1" si="77"/>
        <v>90- 26- 2</v>
      </c>
      <c r="J450" t="str">
        <f t="shared" ca="1" si="78"/>
        <v>1.519 E</v>
      </c>
      <c r="K450" t="str">
        <f t="shared" ca="1" si="79"/>
        <v>sss</v>
      </c>
      <c r="L450" t="str">
        <f t="shared" ca="1" si="80"/>
        <v>90- 26- 2sss1.519 E</v>
      </c>
      <c r="M450" t="str">
        <f t="shared" ca="1" si="81"/>
        <v>90- 26- 2sss1.519 E</v>
      </c>
      <c r="N450">
        <f t="shared" ca="1" si="82"/>
        <v>23.879664166666668</v>
      </c>
      <c r="O450">
        <f t="shared" ca="1" si="83"/>
        <v>90.439310833333337</v>
      </c>
    </row>
    <row r="451" spans="1:15" x14ac:dyDescent="0.3">
      <c r="A451" t="s">
        <v>2441</v>
      </c>
      <c r="B451" t="str">
        <f t="shared" ca="1" si="84"/>
        <v>23- 52- 47</v>
      </c>
      <c r="C451" t="str">
        <f t="shared" ca="1" si="85"/>
        <v>.378 N</v>
      </c>
      <c r="D451" t="str">
        <f t="shared" ref="D451:D495" ca="1" si="86">IF(ISERROR(REPT(CHAR(RANDBETWEEN(65,128)),RANDBETWEEN(1,5))),"ee",(REPT(CHAR(RANDBETWEEN(65,128)),RANDBETWEEN(1,5))))</f>
        <v>AAA</v>
      </c>
      <c r="E451" t="str">
        <f t="shared" ref="E451:E495" ca="1" si="87">B451&amp;D451&amp;C451</f>
        <v>23- 52- 47AAA.378 N</v>
      </c>
      <c r="F451" t="str">
        <f t="shared" ref="F451:F495" ca="1" si="88">E451</f>
        <v>23- 52- 47AAA.378 N</v>
      </c>
      <c r="H451" t="s">
        <v>2935</v>
      </c>
      <c r="I451" t="str">
        <f t="shared" ref="I451:I495" ca="1" si="89">LEFT(H451,RANDBETWEEN(1,LEN(H451)))</f>
        <v>9</v>
      </c>
      <c r="J451" t="str">
        <f t="shared" ref="J451:J495" ca="1" si="90">SUBSTITUTE(H451,I451,"")</f>
        <v>0- 26- 56.845 E</v>
      </c>
      <c r="K451" t="str">
        <f t="shared" ref="K451:K495" ca="1" si="91">IF(ISERROR(REPT(CHAR(RANDBETWEEN(65,128)),RANDBETWEEN(1,5))),"ee",(REPT(CHAR(RANDBETWEEN(65,128)),RANDBETWEEN(1,5))))</f>
        <v>W</v>
      </c>
      <c r="L451" t="str">
        <f t="shared" ref="L451:L495" ca="1" si="92">I451&amp;K451&amp;J451</f>
        <v>9W0- 26- 56.845 E</v>
      </c>
      <c r="M451" t="str">
        <f t="shared" ref="M451:M495" ca="1" si="93">L451</f>
        <v>9W0- 26- 56.845 E</v>
      </c>
      <c r="N451">
        <f t="shared" ref="N451:N495" ca="1" si="94">DecimalDegreesConverter(F451,,,"-")</f>
        <v>23.879827222222222</v>
      </c>
      <c r="O451">
        <f t="shared" ref="O451:O495" ca="1" si="95">DecimalDegreesConverter(M451,,,"-")</f>
        <v>90.449123611111119</v>
      </c>
    </row>
    <row r="452" spans="1:15" x14ac:dyDescent="0.3">
      <c r="A452" t="s">
        <v>2442</v>
      </c>
      <c r="B452" t="str">
        <f t="shared" ca="1" si="84"/>
        <v>23- 52- 47.962</v>
      </c>
      <c r="C452" t="str">
        <f t="shared" ca="1" si="85"/>
        <v xml:space="preserve"> N</v>
      </c>
      <c r="D452" t="str">
        <f t="shared" ca="1" si="86"/>
        <v>}}}</v>
      </c>
      <c r="E452" t="str">
        <f t="shared" ca="1" si="87"/>
        <v>23- 52- 47.962}}} N</v>
      </c>
      <c r="F452" t="str">
        <f t="shared" ca="1" si="88"/>
        <v>23- 52- 47.962}}} N</v>
      </c>
      <c r="H452" t="s">
        <v>2936</v>
      </c>
      <c r="I452" t="str">
        <f t="shared" ca="1" si="89"/>
        <v>90- 27- 32.172</v>
      </c>
      <c r="J452" t="str">
        <f t="shared" ca="1" si="90"/>
        <v xml:space="preserve"> E</v>
      </c>
      <c r="K452" t="str">
        <f t="shared" ca="1" si="91"/>
        <v>SSS</v>
      </c>
      <c r="L452" t="str">
        <f t="shared" ca="1" si="92"/>
        <v>90- 27- 32.172SSS E</v>
      </c>
      <c r="M452" t="str">
        <f t="shared" ca="1" si="93"/>
        <v>90- 27- 32.172SSS E</v>
      </c>
      <c r="N452">
        <f t="shared" ca="1" si="94"/>
        <v>23.879989444444444</v>
      </c>
      <c r="O452">
        <f t="shared" ca="1" si="95"/>
        <v>90.458936666666673</v>
      </c>
    </row>
    <row r="453" spans="1:15" x14ac:dyDescent="0.3">
      <c r="A453" t="s">
        <v>2443</v>
      </c>
      <c r="B453" t="str">
        <f t="shared" ca="1" si="84"/>
        <v>23- 52- 48.</v>
      </c>
      <c r="C453" t="str">
        <f t="shared" ca="1" si="85"/>
        <v>545 N</v>
      </c>
      <c r="D453" t="str">
        <f t="shared" ca="1" si="86"/>
        <v>uu</v>
      </c>
      <c r="E453" t="str">
        <f t="shared" ca="1" si="87"/>
        <v>23- 52- 48.uu545 N</v>
      </c>
      <c r="F453" t="str">
        <f t="shared" ca="1" si="88"/>
        <v>23- 52- 48.uu545 N</v>
      </c>
      <c r="H453" t="s">
        <v>2937</v>
      </c>
      <c r="I453" t="str">
        <f t="shared" ca="1" si="89"/>
        <v xml:space="preserve">90- 28- </v>
      </c>
      <c r="J453" t="str">
        <f t="shared" ca="1" si="90"/>
        <v>7.498 E</v>
      </c>
      <c r="K453" t="str">
        <f t="shared" ca="1" si="91"/>
        <v>dd</v>
      </c>
      <c r="L453" t="str">
        <f t="shared" ca="1" si="92"/>
        <v>90- 28- dd7.498 E</v>
      </c>
      <c r="M453" t="str">
        <f t="shared" ca="1" si="93"/>
        <v>90- 28- dd7.498 E</v>
      </c>
      <c r="N453">
        <f t="shared" ca="1" si="94"/>
        <v>23.880151388888891</v>
      </c>
      <c r="O453">
        <f t="shared" ca="1" si="95"/>
        <v>90.468749444444441</v>
      </c>
    </row>
    <row r="454" spans="1:15" x14ac:dyDescent="0.3">
      <c r="A454" t="s">
        <v>2444</v>
      </c>
      <c r="B454" t="str">
        <f t="shared" ca="1" si="84"/>
        <v>23- 52- 49.1</v>
      </c>
      <c r="C454" t="str">
        <f t="shared" ca="1" si="85"/>
        <v>25 N</v>
      </c>
      <c r="D454" t="str">
        <f t="shared" ca="1" si="86"/>
        <v>€€€</v>
      </c>
      <c r="E454" t="str">
        <f t="shared" ca="1" si="87"/>
        <v>23- 52- 49.1€€€25 N</v>
      </c>
      <c r="F454" t="str">
        <f t="shared" ca="1" si="88"/>
        <v>23- 52- 49.1€€€25 N</v>
      </c>
      <c r="H454" t="s">
        <v>2938</v>
      </c>
      <c r="I454" t="str">
        <f t="shared" ca="1" si="89"/>
        <v>90- 2</v>
      </c>
      <c r="J454" t="str">
        <f t="shared" ca="1" si="90"/>
        <v>8- 42.826 E</v>
      </c>
      <c r="K454" t="str">
        <f t="shared" ca="1" si="91"/>
        <v>ww</v>
      </c>
      <c r="L454" t="str">
        <f t="shared" ca="1" si="92"/>
        <v>90- 2ww8- 42.826 E</v>
      </c>
      <c r="M454" t="str">
        <f t="shared" ca="1" si="93"/>
        <v>90- 2ww8- 42.826 E</v>
      </c>
      <c r="N454">
        <f t="shared" ca="1" si="94"/>
        <v>23.880312499999999</v>
      </c>
      <c r="O454">
        <f t="shared" ca="1" si="95"/>
        <v>90.478562777777782</v>
      </c>
    </row>
    <row r="455" spans="1:15" x14ac:dyDescent="0.3">
      <c r="A455" t="s">
        <v>2445</v>
      </c>
      <c r="B455" t="str">
        <f t="shared" ca="1" si="84"/>
        <v>23</v>
      </c>
      <c r="C455" t="str">
        <f t="shared" ca="1" si="85"/>
        <v>- 52- 49.703 N</v>
      </c>
      <c r="D455" t="str">
        <f t="shared" ca="1" si="86"/>
        <v>nnnnn</v>
      </c>
      <c r="E455" t="str">
        <f t="shared" ca="1" si="87"/>
        <v>23nnnnn- 52- 49.703 N</v>
      </c>
      <c r="F455" t="str">
        <f t="shared" ca="1" si="88"/>
        <v>23nnnnn- 52- 49.703 N</v>
      </c>
      <c r="H455" t="s">
        <v>2939</v>
      </c>
      <c r="I455" t="str">
        <f t="shared" ca="1" si="89"/>
        <v>90- 29- 18.15</v>
      </c>
      <c r="J455" t="str">
        <f t="shared" ca="1" si="90"/>
        <v>3 E</v>
      </c>
      <c r="K455" t="str">
        <f t="shared" ca="1" si="91"/>
        <v>WWWW</v>
      </c>
      <c r="L455" t="str">
        <f t="shared" ca="1" si="92"/>
        <v>90- 29- 18.15WWWW3 E</v>
      </c>
      <c r="M455" t="str">
        <f t="shared" ca="1" si="93"/>
        <v>90- 29- 18.15WWWW3 E</v>
      </c>
      <c r="N455">
        <f t="shared" ca="1" si="94"/>
        <v>23.880473055555555</v>
      </c>
      <c r="O455">
        <f t="shared" ca="1" si="95"/>
        <v>90.488375833333336</v>
      </c>
    </row>
    <row r="456" spans="1:15" x14ac:dyDescent="0.3">
      <c r="A456" t="s">
        <v>2446</v>
      </c>
      <c r="B456" t="str">
        <f t="shared" ca="1" si="84"/>
        <v xml:space="preserve">23- 52- </v>
      </c>
      <c r="C456" t="str">
        <f t="shared" ca="1" si="85"/>
        <v>50.279 N</v>
      </c>
      <c r="D456" t="str">
        <f t="shared" ca="1" si="86"/>
        <v></v>
      </c>
      <c r="E456" t="str">
        <f t="shared" ca="1" si="87"/>
        <v>23- 52- 50.279 N</v>
      </c>
      <c r="F456" t="str">
        <f t="shared" ca="1" si="88"/>
        <v>23- 52- 50.279 N</v>
      </c>
      <c r="H456" t="s">
        <v>2940</v>
      </c>
      <c r="I456" t="str">
        <f t="shared" ca="1" si="89"/>
        <v>9</v>
      </c>
      <c r="J456" t="str">
        <f t="shared" ca="1" si="90"/>
        <v>0- 2- 53.481 E</v>
      </c>
      <c r="K456" t="str">
        <f t="shared" ca="1" si="91"/>
        <v>CCC</v>
      </c>
      <c r="L456" t="str">
        <f t="shared" ca="1" si="92"/>
        <v>9CCC0- 2- 53.481 E</v>
      </c>
      <c r="M456" t="str">
        <f t="shared" ca="1" si="93"/>
        <v>9CCC0- 2- 53.481 E</v>
      </c>
      <c r="N456">
        <f t="shared" ca="1" si="94"/>
        <v>23.880633055555556</v>
      </c>
      <c r="O456">
        <f t="shared" ca="1" si="95"/>
        <v>90.04818916666666</v>
      </c>
    </row>
    <row r="457" spans="1:15" x14ac:dyDescent="0.3">
      <c r="A457" t="s">
        <v>2447</v>
      </c>
      <c r="B457" t="str">
        <f t="shared" ca="1" si="84"/>
        <v>23-</v>
      </c>
      <c r="C457" t="str">
        <f t="shared" ca="1" si="85"/>
        <v xml:space="preserve"> 52- 50.852 N</v>
      </c>
      <c r="D457" t="str">
        <f t="shared" ca="1" si="86"/>
        <v>UUU</v>
      </c>
      <c r="E457" t="str">
        <f t="shared" ca="1" si="87"/>
        <v>23-UUU 52- 50.852 N</v>
      </c>
      <c r="F457" t="str">
        <f t="shared" ca="1" si="88"/>
        <v>23-UUU 52- 50.852 N</v>
      </c>
      <c r="H457" t="s">
        <v>2941</v>
      </c>
      <c r="I457" t="str">
        <f t="shared" ca="1" si="89"/>
        <v xml:space="preserve">90- 30- 28.809 </v>
      </c>
      <c r="J457" t="str">
        <f t="shared" ca="1" si="90"/>
        <v>E</v>
      </c>
      <c r="K457" t="str">
        <f t="shared" ca="1" si="91"/>
        <v>pppp</v>
      </c>
      <c r="L457" t="str">
        <f t="shared" ca="1" si="92"/>
        <v>90- 30- 28.809 ppppE</v>
      </c>
      <c r="M457" t="str">
        <f t="shared" ca="1" si="93"/>
        <v>90- 30- 28.809 ppppE</v>
      </c>
      <c r="N457">
        <f t="shared" ca="1" si="94"/>
        <v>23.880792222222222</v>
      </c>
      <c r="O457">
        <f t="shared" ca="1" si="95"/>
        <v>90.508002500000003</v>
      </c>
    </row>
    <row r="458" spans="1:15" x14ac:dyDescent="0.3">
      <c r="A458" t="s">
        <v>2448</v>
      </c>
      <c r="B458" t="str">
        <f t="shared" ca="1" si="84"/>
        <v>23-</v>
      </c>
      <c r="C458" t="str">
        <f t="shared" ca="1" si="85"/>
        <v xml:space="preserve"> 53- 12.667 N</v>
      </c>
      <c r="D458" t="str">
        <f t="shared" ca="1" si="86"/>
        <v>pp</v>
      </c>
      <c r="E458" t="str">
        <f t="shared" ca="1" si="87"/>
        <v>23-pp 53- 12.667 N</v>
      </c>
      <c r="F458" t="str">
        <f t="shared" ca="1" si="88"/>
        <v>23-pp 53- 12.667 N</v>
      </c>
      <c r="H458" t="s">
        <v>2942</v>
      </c>
      <c r="I458" t="str">
        <f t="shared" ca="1" si="89"/>
        <v>90</v>
      </c>
      <c r="J458" t="str">
        <f t="shared" ca="1" si="90"/>
        <v>- 19- 52.284 E</v>
      </c>
      <c r="K458" t="str">
        <f t="shared" ca="1" si="91"/>
        <v>jjjjj</v>
      </c>
      <c r="L458" t="str">
        <f t="shared" ca="1" si="92"/>
        <v>90jjjjj- 19- 52.284 E</v>
      </c>
      <c r="M458" t="str">
        <f t="shared" ca="1" si="93"/>
        <v>90jjjjj- 19- 52.284 E</v>
      </c>
      <c r="N458">
        <f t="shared" ca="1" si="94"/>
        <v>23.886851944444444</v>
      </c>
      <c r="O458">
        <f t="shared" ca="1" si="95"/>
        <v>90.331189999999992</v>
      </c>
    </row>
    <row r="459" spans="1:15" x14ac:dyDescent="0.3">
      <c r="A459" t="s">
        <v>2449</v>
      </c>
      <c r="B459" t="str">
        <f t="shared" ca="1" si="84"/>
        <v>23- 53- 13.27</v>
      </c>
      <c r="C459" t="str">
        <f t="shared" ca="1" si="85"/>
        <v>9 N</v>
      </c>
      <c r="D459" t="str">
        <f t="shared" ca="1" si="86"/>
        <v>~~~~</v>
      </c>
      <c r="E459" t="str">
        <f t="shared" ca="1" si="87"/>
        <v>23- 53- 13.27~~~~9 N</v>
      </c>
      <c r="F459" t="str">
        <f t="shared" ca="1" si="88"/>
        <v>23- 53- 13.27~~~~9 N</v>
      </c>
      <c r="H459" t="s">
        <v>2943</v>
      </c>
      <c r="I459" t="str">
        <f t="shared" ca="1" si="89"/>
        <v>90</v>
      </c>
      <c r="J459" t="str">
        <f t="shared" ca="1" si="90"/>
        <v>- 20- 27.610 E</v>
      </c>
      <c r="K459" t="str">
        <f t="shared" ca="1" si="91"/>
        <v>PP</v>
      </c>
      <c r="L459" t="str">
        <f t="shared" ca="1" si="92"/>
        <v>90PP- 20- 27.610 E</v>
      </c>
      <c r="M459" t="str">
        <f t="shared" ca="1" si="93"/>
        <v>90PP- 20- 27.610 E</v>
      </c>
      <c r="N459">
        <f t="shared" ca="1" si="94"/>
        <v>23.887021944444445</v>
      </c>
      <c r="O459">
        <f t="shared" ca="1" si="95"/>
        <v>90.341002777777774</v>
      </c>
    </row>
    <row r="460" spans="1:15" x14ac:dyDescent="0.3">
      <c r="A460" t="s">
        <v>2450</v>
      </c>
      <c r="B460" t="str">
        <f t="shared" ca="1" si="84"/>
        <v xml:space="preserve">23- </v>
      </c>
      <c r="C460" t="str">
        <f t="shared" ca="1" si="85"/>
        <v>53- 13.888 N</v>
      </c>
      <c r="D460" t="str">
        <f t="shared" ca="1" si="86"/>
        <v>sssss</v>
      </c>
      <c r="E460" t="str">
        <f t="shared" ca="1" si="87"/>
        <v>23- sssss53- 13.888 N</v>
      </c>
      <c r="F460" t="str">
        <f t="shared" ca="1" si="88"/>
        <v>23- sssss53- 13.888 N</v>
      </c>
      <c r="H460" t="s">
        <v>2944</v>
      </c>
      <c r="I460" t="str">
        <f t="shared" ca="1" si="89"/>
        <v>90- 21- 2</v>
      </c>
      <c r="J460" t="str">
        <f t="shared" ca="1" si="90"/>
        <v>.935 E</v>
      </c>
      <c r="K460" t="str">
        <f t="shared" ca="1" si="91"/>
        <v>BBBB</v>
      </c>
      <c r="L460" t="str">
        <f t="shared" ca="1" si="92"/>
        <v>90- 21- 2BBBB.935 E</v>
      </c>
      <c r="M460" t="str">
        <f t="shared" ca="1" si="93"/>
        <v>90- 21- 2BBBB.935 E</v>
      </c>
      <c r="N460">
        <f t="shared" ca="1" si="94"/>
        <v>23.887191111111111</v>
      </c>
      <c r="O460">
        <f t="shared" ca="1" si="95"/>
        <v>90.35081527777777</v>
      </c>
    </row>
    <row r="461" spans="1:15" x14ac:dyDescent="0.3">
      <c r="A461" t="s">
        <v>2451</v>
      </c>
      <c r="B461" t="str">
        <f t="shared" ca="1" si="84"/>
        <v>23- 53- 14.496</v>
      </c>
      <c r="C461" t="str">
        <f t="shared" ca="1" si="85"/>
        <v xml:space="preserve"> N</v>
      </c>
      <c r="D461" t="str">
        <f t="shared" ca="1" si="86"/>
        <v>llll</v>
      </c>
      <c r="E461" t="str">
        <f t="shared" ca="1" si="87"/>
        <v>23- 53- 14.496llll N</v>
      </c>
      <c r="F461" t="str">
        <f t="shared" ca="1" si="88"/>
        <v>23- 53- 14.496llll N</v>
      </c>
      <c r="H461" t="s">
        <v>2945</v>
      </c>
      <c r="I461" t="str">
        <f t="shared" ca="1" si="89"/>
        <v>90- 21- 38.26</v>
      </c>
      <c r="J461" t="str">
        <f t="shared" ca="1" si="90"/>
        <v>1 E</v>
      </c>
      <c r="K461" t="str">
        <f t="shared" ca="1" si="91"/>
        <v>NNN</v>
      </c>
      <c r="L461" t="str">
        <f t="shared" ca="1" si="92"/>
        <v>90- 21- 38.26NNN1 E</v>
      </c>
      <c r="M461" t="str">
        <f t="shared" ca="1" si="93"/>
        <v>90- 21- 38.26NNN1 E</v>
      </c>
      <c r="N461">
        <f t="shared" ca="1" si="94"/>
        <v>23.887360000000001</v>
      </c>
      <c r="O461">
        <f t="shared" ca="1" si="95"/>
        <v>90.360628055555551</v>
      </c>
    </row>
    <row r="462" spans="1:15" x14ac:dyDescent="0.3">
      <c r="A462" t="s">
        <v>2452</v>
      </c>
      <c r="B462" t="str">
        <f t="shared" ca="1" si="84"/>
        <v xml:space="preserve">23- </v>
      </c>
      <c r="C462" t="str">
        <f t="shared" ca="1" si="85"/>
        <v>53- 15.101 N</v>
      </c>
      <c r="D462" t="str">
        <f t="shared" ca="1" si="86"/>
        <v>XXXX</v>
      </c>
      <c r="E462" t="str">
        <f t="shared" ca="1" si="87"/>
        <v>23- XXXX53- 15.101 N</v>
      </c>
      <c r="F462" t="str">
        <f t="shared" ca="1" si="88"/>
        <v>23- XXXX53- 15.101 N</v>
      </c>
      <c r="H462" t="s">
        <v>2946</v>
      </c>
      <c r="I462" t="str">
        <f t="shared" ca="1" si="89"/>
        <v>90- 22</v>
      </c>
      <c r="J462" t="str">
        <f t="shared" ca="1" si="90"/>
        <v>- 13.587 E</v>
      </c>
      <c r="K462" t="str">
        <f t="shared" ca="1" si="91"/>
        <v>O</v>
      </c>
      <c r="L462" t="str">
        <f t="shared" ca="1" si="92"/>
        <v>90- 22O- 13.587 E</v>
      </c>
      <c r="M462" t="str">
        <f t="shared" ca="1" si="93"/>
        <v>90- 22O- 13.587 E</v>
      </c>
      <c r="N462">
        <f t="shared" ca="1" si="94"/>
        <v>23.887528055555556</v>
      </c>
      <c r="O462">
        <f t="shared" ca="1" si="95"/>
        <v>90.370440833333333</v>
      </c>
    </row>
    <row r="463" spans="1:15" x14ac:dyDescent="0.3">
      <c r="A463" t="s">
        <v>2453</v>
      </c>
      <c r="B463" t="str">
        <f t="shared" ca="1" si="84"/>
        <v>23- 5</v>
      </c>
      <c r="C463" t="str">
        <f t="shared" ca="1" si="85"/>
        <v>3- 15.704 N</v>
      </c>
      <c r="D463" t="str">
        <f t="shared" ca="1" si="86"/>
        <v>AA</v>
      </c>
      <c r="E463" t="str">
        <f t="shared" ca="1" si="87"/>
        <v>23- 5AA3- 15.704 N</v>
      </c>
      <c r="F463" t="str">
        <f t="shared" ca="1" si="88"/>
        <v>23- 5AA3- 15.704 N</v>
      </c>
      <c r="H463" t="s">
        <v>2947</v>
      </c>
      <c r="I463" t="str">
        <f t="shared" ca="1" si="89"/>
        <v>90- 22- 48.</v>
      </c>
      <c r="J463" t="str">
        <f t="shared" ca="1" si="90"/>
        <v>914 E</v>
      </c>
      <c r="K463" t="str">
        <f t="shared" ca="1" si="91"/>
        <v>YYY</v>
      </c>
      <c r="L463" t="str">
        <f t="shared" ca="1" si="92"/>
        <v>90- 22- 48.YYY914 E</v>
      </c>
      <c r="M463" t="str">
        <f t="shared" ca="1" si="93"/>
        <v>90- 22- 48.YYY914 E</v>
      </c>
      <c r="N463">
        <f t="shared" ca="1" si="94"/>
        <v>23.887695555555556</v>
      </c>
      <c r="O463">
        <f t="shared" ca="1" si="95"/>
        <v>90.380253888888888</v>
      </c>
    </row>
    <row r="464" spans="1:15" x14ac:dyDescent="0.3">
      <c r="A464" t="s">
        <v>2454</v>
      </c>
      <c r="B464" t="str">
        <f t="shared" ca="1" si="84"/>
        <v>23- 53- 16.3</v>
      </c>
      <c r="C464" t="str">
        <f t="shared" ca="1" si="85"/>
        <v>05 N</v>
      </c>
      <c r="D464" t="str">
        <f t="shared" ca="1" si="86"/>
        <v>ccc</v>
      </c>
      <c r="E464" t="str">
        <f t="shared" ca="1" si="87"/>
        <v>23- 53- 16.3ccc05 N</v>
      </c>
      <c r="F464" t="str">
        <f t="shared" ca="1" si="88"/>
        <v>23- 53- 16.3ccc05 N</v>
      </c>
      <c r="H464" t="s">
        <v>2948</v>
      </c>
      <c r="I464" t="str">
        <f t="shared" ca="1" si="89"/>
        <v>90- 23- 24</v>
      </c>
      <c r="J464" t="str">
        <f t="shared" ca="1" si="90"/>
        <v>.240 E</v>
      </c>
      <c r="K464" t="str">
        <f t="shared" ca="1" si="91"/>
        <v>^^^^^</v>
      </c>
      <c r="L464" t="str">
        <f t="shared" ca="1" si="92"/>
        <v>90- 23- 24^^^^^.240 E</v>
      </c>
      <c r="M464" t="str">
        <f t="shared" ca="1" si="93"/>
        <v>90- 23- 24^^^^^.240 E</v>
      </c>
      <c r="N464">
        <f t="shared" ca="1" si="94"/>
        <v>23.887862500000001</v>
      </c>
      <c r="O464">
        <f t="shared" ca="1" si="95"/>
        <v>90.390066666666669</v>
      </c>
    </row>
    <row r="465" spans="1:15" x14ac:dyDescent="0.3">
      <c r="A465" t="s">
        <v>2455</v>
      </c>
      <c r="B465" t="str">
        <f t="shared" ca="1" si="84"/>
        <v>23- 53-</v>
      </c>
      <c r="C465" t="str">
        <f t="shared" ca="1" si="85"/>
        <v xml:space="preserve"> 16.903 N</v>
      </c>
      <c r="D465" t="str">
        <f t="shared" ca="1" si="86"/>
        <v>zzzzz</v>
      </c>
      <c r="E465" t="str">
        <f t="shared" ca="1" si="87"/>
        <v>23- 53-zzzzz 16.903 N</v>
      </c>
      <c r="F465" t="str">
        <f t="shared" ca="1" si="88"/>
        <v>23- 53-zzzzz 16.903 N</v>
      </c>
      <c r="H465" t="s">
        <v>2949</v>
      </c>
      <c r="I465" t="str">
        <f t="shared" ca="1" si="89"/>
        <v>90- 2</v>
      </c>
      <c r="J465" t="str">
        <f t="shared" ca="1" si="90"/>
        <v>3- 59.567 E</v>
      </c>
      <c r="K465" t="str">
        <f t="shared" ca="1" si="91"/>
        <v>oo</v>
      </c>
      <c r="L465" t="str">
        <f t="shared" ca="1" si="92"/>
        <v>90- 2oo3- 59.567 E</v>
      </c>
      <c r="M465" t="str">
        <f t="shared" ca="1" si="93"/>
        <v>90- 2oo3- 59.567 E</v>
      </c>
      <c r="N465">
        <f t="shared" ca="1" si="94"/>
        <v>23.88802861111111</v>
      </c>
      <c r="O465">
        <f t="shared" ca="1" si="95"/>
        <v>90.399879722222224</v>
      </c>
    </row>
    <row r="466" spans="1:15" x14ac:dyDescent="0.3">
      <c r="A466" t="s">
        <v>2456</v>
      </c>
      <c r="B466" t="str">
        <f t="shared" ca="1" si="84"/>
        <v>23- 53- 17.499 N</v>
      </c>
      <c r="C466" t="str">
        <f t="shared" ca="1" si="85"/>
        <v/>
      </c>
      <c r="D466" t="str">
        <f t="shared" ca="1" si="86"/>
        <v>||||</v>
      </c>
      <c r="E466" t="str">
        <f t="shared" ca="1" si="87"/>
        <v>23- 53- 17.499 N||||</v>
      </c>
      <c r="F466" t="str">
        <f t="shared" ca="1" si="88"/>
        <v>23- 53- 17.499 N||||</v>
      </c>
      <c r="H466" t="s">
        <v>2950</v>
      </c>
      <c r="I466" t="str">
        <f t="shared" ca="1" si="89"/>
        <v>90- 24- 34.8</v>
      </c>
      <c r="J466" t="str">
        <f t="shared" ca="1" si="90"/>
        <v>95 E</v>
      </c>
      <c r="K466" t="str">
        <f t="shared" ca="1" si="91"/>
        <v>YYY</v>
      </c>
      <c r="L466" t="str">
        <f t="shared" ca="1" si="92"/>
        <v>90- 24- 34.8YYY95 E</v>
      </c>
      <c r="M466" t="str">
        <f t="shared" ca="1" si="93"/>
        <v>90- 24- 34.8YYY95 E</v>
      </c>
      <c r="N466">
        <f t="shared" ca="1" si="94"/>
        <v>23.888194166666665</v>
      </c>
      <c r="O466">
        <f t="shared" ca="1" si="95"/>
        <v>90.409693055555564</v>
      </c>
    </row>
    <row r="467" spans="1:15" x14ac:dyDescent="0.3">
      <c r="A467" t="s">
        <v>2457</v>
      </c>
      <c r="B467" t="str">
        <f t="shared" ca="1" si="84"/>
        <v>23- 53- 1</v>
      </c>
      <c r="C467" t="str">
        <f t="shared" ca="1" si="85"/>
        <v>8.093 N</v>
      </c>
      <c r="D467" t="str">
        <f t="shared" ca="1" si="86"/>
        <v>hhhhh</v>
      </c>
      <c r="E467" t="str">
        <f t="shared" ca="1" si="87"/>
        <v>23- 53- 1hhhhh8.093 N</v>
      </c>
      <c r="F467" t="str">
        <f t="shared" ca="1" si="88"/>
        <v>23- 53- 1hhhhh8.093 N</v>
      </c>
      <c r="H467" t="s">
        <v>2951</v>
      </c>
      <c r="I467" t="str">
        <f t="shared" ca="1" si="89"/>
        <v>90- 25- 1</v>
      </c>
      <c r="J467" t="str">
        <f t="shared" ca="1" si="90"/>
        <v>0.223 E</v>
      </c>
      <c r="K467" t="str">
        <f t="shared" ca="1" si="91"/>
        <v>OOOOO</v>
      </c>
      <c r="L467" t="str">
        <f t="shared" ca="1" si="92"/>
        <v>90- 25- 1OOOOO0.223 E</v>
      </c>
      <c r="M467" t="str">
        <f t="shared" ca="1" si="93"/>
        <v>90- 25- 1OOOOO0.223 E</v>
      </c>
      <c r="N467">
        <f t="shared" ca="1" si="94"/>
        <v>23.888359166666667</v>
      </c>
      <c r="O467">
        <f t="shared" ca="1" si="95"/>
        <v>90.419506388888891</v>
      </c>
    </row>
    <row r="468" spans="1:15" x14ac:dyDescent="0.3">
      <c r="A468" t="s">
        <v>2458</v>
      </c>
      <c r="B468" t="str">
        <f t="shared" ca="1" si="84"/>
        <v>23- 53- 1</v>
      </c>
      <c r="C468" t="str">
        <f t="shared" ca="1" si="85"/>
        <v>8.685 N</v>
      </c>
      <c r="D468" t="str">
        <f t="shared" ca="1" si="86"/>
        <v>A</v>
      </c>
      <c r="E468" t="str">
        <f t="shared" ca="1" si="87"/>
        <v>23- 53- 1A8.685 N</v>
      </c>
      <c r="F468" t="str">
        <f t="shared" ca="1" si="88"/>
        <v>23- 53- 1A8.685 N</v>
      </c>
      <c r="H468" t="s">
        <v>2952</v>
      </c>
      <c r="I468" t="str">
        <f t="shared" ca="1" si="89"/>
        <v>90- 25- 45.</v>
      </c>
      <c r="J468" t="str">
        <f t="shared" ca="1" si="90"/>
        <v>551 E</v>
      </c>
      <c r="K468" t="str">
        <f t="shared" ca="1" si="91"/>
        <v>mmm</v>
      </c>
      <c r="L468" t="str">
        <f t="shared" ca="1" si="92"/>
        <v>90- 25- 45.mmm551 E</v>
      </c>
      <c r="M468" t="str">
        <f t="shared" ca="1" si="93"/>
        <v>90- 25- 45.mmm551 E</v>
      </c>
      <c r="N468">
        <f t="shared" ca="1" si="94"/>
        <v>23.888523611111111</v>
      </c>
      <c r="O468">
        <f t="shared" ca="1" si="95"/>
        <v>90.429319722222232</v>
      </c>
    </row>
    <row r="469" spans="1:15" x14ac:dyDescent="0.3">
      <c r="A469" t="s">
        <v>2459</v>
      </c>
      <c r="B469" t="str">
        <f t="shared" ca="1" si="84"/>
        <v>23- 53- 19.275 N</v>
      </c>
      <c r="C469" t="str">
        <f t="shared" ca="1" si="85"/>
        <v/>
      </c>
      <c r="D469" t="str">
        <f t="shared" ca="1" si="86"/>
        <v>`</v>
      </c>
      <c r="E469" t="str">
        <f t="shared" ca="1" si="87"/>
        <v>23- 53- 19.275 N`</v>
      </c>
      <c r="F469" t="str">
        <f t="shared" ca="1" si="88"/>
        <v>23- 53- 19.275 N`</v>
      </c>
      <c r="H469" t="s">
        <v>2953</v>
      </c>
      <c r="I469" t="str">
        <f t="shared" ca="1" si="89"/>
        <v xml:space="preserve">90- </v>
      </c>
      <c r="J469" t="str">
        <f t="shared" ca="1" si="90"/>
        <v>26- 20.879 E</v>
      </c>
      <c r="K469" t="str">
        <f t="shared" ca="1" si="91"/>
        <v>PPPP</v>
      </c>
      <c r="L469" t="str">
        <f t="shared" ca="1" si="92"/>
        <v>90- PPPP26- 20.879 E</v>
      </c>
      <c r="M469" t="str">
        <f t="shared" ca="1" si="93"/>
        <v>90- PPPP26- 20.879 E</v>
      </c>
      <c r="N469">
        <f t="shared" ca="1" si="94"/>
        <v>23.8886875</v>
      </c>
      <c r="O469">
        <f t="shared" ca="1" si="95"/>
        <v>90.439133055555558</v>
      </c>
    </row>
    <row r="470" spans="1:15" x14ac:dyDescent="0.3">
      <c r="A470" t="s">
        <v>2460</v>
      </c>
      <c r="B470" t="str">
        <f t="shared" ca="1" si="84"/>
        <v>23- 53- 19.862</v>
      </c>
      <c r="C470" t="str">
        <f t="shared" ca="1" si="85"/>
        <v xml:space="preserve"> N</v>
      </c>
      <c r="D470" t="str">
        <f t="shared" ca="1" si="86"/>
        <v>GGGG</v>
      </c>
      <c r="E470" t="str">
        <f t="shared" ca="1" si="87"/>
        <v>23- 53- 19.862GGGG N</v>
      </c>
      <c r="F470" t="str">
        <f t="shared" ca="1" si="88"/>
        <v>23- 53- 19.862GGGG N</v>
      </c>
      <c r="H470" t="s">
        <v>2954</v>
      </c>
      <c r="I470" t="str">
        <f t="shared" ca="1" si="89"/>
        <v>90- 26- 56.</v>
      </c>
      <c r="J470" t="str">
        <f t="shared" ca="1" si="90"/>
        <v>208 E</v>
      </c>
      <c r="K470" t="str">
        <f t="shared" ca="1" si="91"/>
        <v>zz</v>
      </c>
      <c r="L470" t="str">
        <f t="shared" ca="1" si="92"/>
        <v>90- 26- 56.zz208 E</v>
      </c>
      <c r="M470" t="str">
        <f t="shared" ca="1" si="93"/>
        <v>90- 26- 56.zz208 E</v>
      </c>
      <c r="N470">
        <f t="shared" ca="1" si="94"/>
        <v>23.888850555555557</v>
      </c>
      <c r="O470">
        <f t="shared" ca="1" si="95"/>
        <v>90.448946666666671</v>
      </c>
    </row>
    <row r="471" spans="1:15" x14ac:dyDescent="0.3">
      <c r="A471" t="s">
        <v>2461</v>
      </c>
      <c r="B471" t="str">
        <f t="shared" ca="1" si="84"/>
        <v>23</v>
      </c>
      <c r="C471" t="str">
        <f t="shared" ca="1" si="85"/>
        <v>- 53- 20.447 N</v>
      </c>
      <c r="D471" t="str">
        <f t="shared" ca="1" si="86"/>
        <v>OOO</v>
      </c>
      <c r="E471" t="str">
        <f t="shared" ca="1" si="87"/>
        <v>23OOO- 53- 20.447 N</v>
      </c>
      <c r="F471" t="str">
        <f t="shared" ca="1" si="88"/>
        <v>23OOO- 53- 20.447 N</v>
      </c>
      <c r="H471" t="s">
        <v>2955</v>
      </c>
      <c r="I471" t="str">
        <f t="shared" ca="1" si="89"/>
        <v>90- 27- 31.5</v>
      </c>
      <c r="J471" t="str">
        <f t="shared" ca="1" si="90"/>
        <v>37 E</v>
      </c>
      <c r="K471" t="str">
        <f t="shared" ca="1" si="91"/>
        <v>}}}</v>
      </c>
      <c r="L471" t="str">
        <f t="shared" ca="1" si="92"/>
        <v>90- 27- 31.5}}}37 E</v>
      </c>
      <c r="M471" t="str">
        <f t="shared" ca="1" si="93"/>
        <v>90- 27- 31.5}}}37 E</v>
      </c>
      <c r="N471">
        <f t="shared" ca="1" si="94"/>
        <v>23.889013055555555</v>
      </c>
      <c r="O471">
        <f t="shared" ca="1" si="95"/>
        <v>90.458760277777785</v>
      </c>
    </row>
    <row r="472" spans="1:15" x14ac:dyDescent="0.3">
      <c r="A472" t="s">
        <v>2462</v>
      </c>
      <c r="B472" t="str">
        <f t="shared" ca="1" si="84"/>
        <v xml:space="preserve">23- </v>
      </c>
      <c r="C472" t="str">
        <f t="shared" ca="1" si="85"/>
        <v>53- 21.030 N</v>
      </c>
      <c r="D472" t="str">
        <f t="shared" ca="1" si="86"/>
        <v>ZZ</v>
      </c>
      <c r="E472" t="str">
        <f t="shared" ca="1" si="87"/>
        <v>23- ZZ53- 21.030 N</v>
      </c>
      <c r="F472" t="str">
        <f t="shared" ca="1" si="88"/>
        <v>23- ZZ53- 21.030 N</v>
      </c>
      <c r="H472" t="s">
        <v>2956</v>
      </c>
      <c r="I472" t="str">
        <f t="shared" ca="1" si="89"/>
        <v xml:space="preserve">90- 28- </v>
      </c>
      <c r="J472" t="str">
        <f t="shared" ca="1" si="90"/>
        <v>6.866 E</v>
      </c>
      <c r="K472" t="str">
        <f t="shared" ca="1" si="91"/>
        <v>]]]</v>
      </c>
      <c r="L472" t="str">
        <f t="shared" ca="1" si="92"/>
        <v>90- 28- ]]]6.866 E</v>
      </c>
      <c r="M472" t="str">
        <f t="shared" ca="1" si="93"/>
        <v>90- 28- ]]]6.866 E</v>
      </c>
      <c r="N472">
        <f t="shared" ca="1" si="94"/>
        <v>23.889174999999998</v>
      </c>
      <c r="O472">
        <f t="shared" ca="1" si="95"/>
        <v>90.468573888888898</v>
      </c>
    </row>
    <row r="473" spans="1:15" x14ac:dyDescent="0.3">
      <c r="A473" t="s">
        <v>2463</v>
      </c>
      <c r="B473" t="str">
        <f t="shared" ca="1" si="84"/>
        <v>23- 53-</v>
      </c>
      <c r="C473" t="str">
        <f t="shared" ca="1" si="85"/>
        <v xml:space="preserve"> 21.610 N</v>
      </c>
      <c r="D473" t="str">
        <f t="shared" ca="1" si="86"/>
        <v>III</v>
      </c>
      <c r="E473" t="str">
        <f t="shared" ca="1" si="87"/>
        <v>23- 53-III 21.610 N</v>
      </c>
      <c r="F473" t="str">
        <f t="shared" ca="1" si="88"/>
        <v>23- 53-III 21.610 N</v>
      </c>
      <c r="H473" t="s">
        <v>2957</v>
      </c>
      <c r="I473" t="str">
        <f t="shared" ca="1" si="89"/>
        <v>90- 28- 42.196 E</v>
      </c>
      <c r="J473" t="str">
        <f t="shared" ca="1" si="90"/>
        <v/>
      </c>
      <c r="K473" t="str">
        <f t="shared" ca="1" si="91"/>
        <v>n</v>
      </c>
      <c r="L473" t="str">
        <f t="shared" ca="1" si="92"/>
        <v>90- 28- 42.196 En</v>
      </c>
      <c r="M473" t="str">
        <f t="shared" ca="1" si="93"/>
        <v>90- 28- 42.196 En</v>
      </c>
      <c r="N473">
        <f t="shared" ca="1" si="94"/>
        <v>23.88933611111111</v>
      </c>
      <c r="O473">
        <f t="shared" ca="1" si="95"/>
        <v>90.478387777777783</v>
      </c>
    </row>
    <row r="474" spans="1:15" x14ac:dyDescent="0.3">
      <c r="A474" t="s">
        <v>2464</v>
      </c>
      <c r="B474" t="str">
        <f t="shared" ca="1" si="84"/>
        <v>23- 53- 22.18</v>
      </c>
      <c r="C474" t="str">
        <f t="shared" ca="1" si="85"/>
        <v>8 N</v>
      </c>
      <c r="D474" t="str">
        <f t="shared" ca="1" si="86"/>
        <v>rrrrr</v>
      </c>
      <c r="E474" t="str">
        <f t="shared" ca="1" si="87"/>
        <v>23- 53- 22.18rrrrr8 N</v>
      </c>
      <c r="F474" t="str">
        <f t="shared" ca="1" si="88"/>
        <v>23- 53- 22.18rrrrr8 N</v>
      </c>
      <c r="H474" t="s">
        <v>2958</v>
      </c>
      <c r="I474" t="str">
        <f t="shared" ca="1" si="89"/>
        <v>90- 29- 17</v>
      </c>
      <c r="J474" t="str">
        <f t="shared" ca="1" si="90"/>
        <v>.526 E</v>
      </c>
      <c r="K474" t="str">
        <f t="shared" ca="1" si="91"/>
        <v>nnnnn</v>
      </c>
      <c r="L474" t="str">
        <f t="shared" ca="1" si="92"/>
        <v>90- 29- 17nnnnn.526 E</v>
      </c>
      <c r="M474" t="str">
        <f t="shared" ca="1" si="93"/>
        <v>90- 29- 17nnnnn.526 E</v>
      </c>
      <c r="N474">
        <f t="shared" ca="1" si="94"/>
        <v>23.889496666666666</v>
      </c>
      <c r="O474">
        <f t="shared" ca="1" si="95"/>
        <v>90.488201666666669</v>
      </c>
    </row>
    <row r="475" spans="1:15" x14ac:dyDescent="0.3">
      <c r="A475" t="s">
        <v>2465</v>
      </c>
      <c r="B475" t="str">
        <f t="shared" ca="1" si="84"/>
        <v xml:space="preserve">23- 53- 22.764 </v>
      </c>
      <c r="C475" t="str">
        <f t="shared" ca="1" si="85"/>
        <v>N</v>
      </c>
      <c r="D475" t="str">
        <f t="shared" ca="1" si="86"/>
        <v>{{{{{</v>
      </c>
      <c r="E475" t="str">
        <f t="shared" ca="1" si="87"/>
        <v>23- 53- 22.764 {{{{{N</v>
      </c>
      <c r="F475" t="str">
        <f t="shared" ca="1" si="88"/>
        <v>23- 53- 22.764 {{{{{N</v>
      </c>
      <c r="H475" t="s">
        <v>2959</v>
      </c>
      <c r="I475" t="str">
        <f t="shared" ca="1" si="89"/>
        <v>90- 29- 52.856 E</v>
      </c>
      <c r="J475" t="str">
        <f t="shared" ca="1" si="90"/>
        <v/>
      </c>
      <c r="K475" t="str">
        <f t="shared" ca="1" si="91"/>
        <v>OOO</v>
      </c>
      <c r="L475" t="str">
        <f t="shared" ca="1" si="92"/>
        <v>90- 29- 52.856 EOOO</v>
      </c>
      <c r="M475" t="str">
        <f t="shared" ca="1" si="93"/>
        <v>90- 29- 52.856 EOOO</v>
      </c>
      <c r="N475">
        <f t="shared" ca="1" si="94"/>
        <v>23.889656666666667</v>
      </c>
      <c r="O475">
        <f t="shared" ca="1" si="95"/>
        <v>90.498015555555554</v>
      </c>
    </row>
    <row r="476" spans="1:15" x14ac:dyDescent="0.3">
      <c r="A476" t="s">
        <v>2466</v>
      </c>
      <c r="B476" t="str">
        <f t="shared" ca="1" si="84"/>
        <v xml:space="preserve">23- </v>
      </c>
      <c r="C476" t="str">
        <f t="shared" ca="1" si="85"/>
        <v>53- 23.338 N</v>
      </c>
      <c r="D476" t="str">
        <f t="shared" ca="1" si="86"/>
        <v>AAAA</v>
      </c>
      <c r="E476" t="str">
        <f t="shared" ca="1" si="87"/>
        <v>23- AAAA53- 23.338 N</v>
      </c>
      <c r="F476" t="str">
        <f t="shared" ca="1" si="88"/>
        <v>23- AAAA53- 23.338 N</v>
      </c>
      <c r="H476" t="s">
        <v>2960</v>
      </c>
      <c r="I476" t="str">
        <f t="shared" ca="1" si="89"/>
        <v>90- 30- 28</v>
      </c>
      <c r="J476" t="str">
        <f t="shared" ca="1" si="90"/>
        <v>.186 E</v>
      </c>
      <c r="K476" t="str">
        <f t="shared" ca="1" si="91"/>
        <v>}</v>
      </c>
      <c r="L476" t="str">
        <f t="shared" ca="1" si="92"/>
        <v>90- 30- 28}.186 E</v>
      </c>
      <c r="M476" t="str">
        <f t="shared" ca="1" si="93"/>
        <v>90- 30- 28}.186 E</v>
      </c>
      <c r="N476">
        <f t="shared" ca="1" si="94"/>
        <v>23.889816111111109</v>
      </c>
      <c r="O476">
        <f t="shared" ca="1" si="95"/>
        <v>90.50782944444444</v>
      </c>
    </row>
    <row r="477" spans="1:15" x14ac:dyDescent="0.3">
      <c r="A477" t="s">
        <v>2467</v>
      </c>
      <c r="B477" t="str">
        <f t="shared" ca="1" si="84"/>
        <v>23- 53- 45</v>
      </c>
      <c r="C477" t="str">
        <f t="shared" ca="1" si="85"/>
        <v>.148 N</v>
      </c>
      <c r="D477" t="str">
        <f t="shared" ca="1" si="86"/>
        <v>YYYY</v>
      </c>
      <c r="E477" t="str">
        <f t="shared" ca="1" si="87"/>
        <v>23- 53- 45YYYY.148 N</v>
      </c>
      <c r="F477" t="str">
        <f t="shared" ca="1" si="88"/>
        <v>23- 53- 45YYYY.148 N</v>
      </c>
      <c r="H477" t="s">
        <v>2961</v>
      </c>
      <c r="I477" t="str">
        <f t="shared" ca="1" si="89"/>
        <v>90- 19-</v>
      </c>
      <c r="J477" t="str">
        <f t="shared" ca="1" si="90"/>
        <v xml:space="preserve"> 51.618 E</v>
      </c>
      <c r="K477" t="str">
        <f t="shared" ca="1" si="91"/>
        <v>wwww</v>
      </c>
      <c r="L477" t="str">
        <f t="shared" ca="1" si="92"/>
        <v>90- 19-wwww 51.618 E</v>
      </c>
      <c r="M477" t="str">
        <f t="shared" ca="1" si="93"/>
        <v>90- 19-wwww 51.618 E</v>
      </c>
      <c r="N477">
        <f t="shared" ca="1" si="94"/>
        <v>23.895874444444445</v>
      </c>
      <c r="O477">
        <f t="shared" ca="1" si="95"/>
        <v>90.33100499999999</v>
      </c>
    </row>
    <row r="478" spans="1:15" x14ac:dyDescent="0.3">
      <c r="A478" t="s">
        <v>2468</v>
      </c>
      <c r="B478" t="str">
        <f t="shared" ca="1" si="84"/>
        <v>23</v>
      </c>
      <c r="C478" t="str">
        <f t="shared" ca="1" si="85"/>
        <v>- 53- 45.760 N</v>
      </c>
      <c r="D478" t="str">
        <f t="shared" ca="1" si="86"/>
        <v>P</v>
      </c>
      <c r="E478" t="str">
        <f t="shared" ca="1" si="87"/>
        <v>23P- 53- 45.760 N</v>
      </c>
      <c r="F478" t="str">
        <f t="shared" ca="1" si="88"/>
        <v>23P- 53- 45.760 N</v>
      </c>
      <c r="H478" t="s">
        <v>2962</v>
      </c>
      <c r="I478" t="str">
        <f t="shared" ca="1" si="89"/>
        <v>9</v>
      </c>
      <c r="J478" t="str">
        <f t="shared" ca="1" si="90"/>
        <v>0- 20- 26.45 E</v>
      </c>
      <c r="K478" t="str">
        <f t="shared" ca="1" si="91"/>
        <v>r</v>
      </c>
      <c r="L478" t="str">
        <f t="shared" ca="1" si="92"/>
        <v>9r0- 20- 26.45 E</v>
      </c>
      <c r="M478" t="str">
        <f t="shared" ca="1" si="93"/>
        <v>9r0- 20- 26.45 E</v>
      </c>
      <c r="N478">
        <f t="shared" ca="1" si="94"/>
        <v>23.896044444444446</v>
      </c>
      <c r="O478">
        <f t="shared" ca="1" si="95"/>
        <v>90.340680555555551</v>
      </c>
    </row>
    <row r="479" spans="1:15" x14ac:dyDescent="0.3">
      <c r="A479" t="s">
        <v>2469</v>
      </c>
      <c r="B479" t="str">
        <f t="shared" ca="1" si="84"/>
        <v>23- 53-</v>
      </c>
      <c r="C479" t="str">
        <f t="shared" ca="1" si="85"/>
        <v xml:space="preserve"> 46.370 N</v>
      </c>
      <c r="D479" t="str">
        <f t="shared" ca="1" si="86"/>
        <v>QQQQQ</v>
      </c>
      <c r="E479" t="str">
        <f t="shared" ca="1" si="87"/>
        <v>23- 53-QQQQQ 46.370 N</v>
      </c>
      <c r="F479" t="str">
        <f t="shared" ca="1" si="88"/>
        <v>23- 53-QQQQQ 46.370 N</v>
      </c>
      <c r="H479" t="s">
        <v>2963</v>
      </c>
      <c r="I479" t="str">
        <f t="shared" ca="1" si="89"/>
        <v xml:space="preserve">90- 21- 2.273 </v>
      </c>
      <c r="J479" t="str">
        <f t="shared" ca="1" si="90"/>
        <v>E</v>
      </c>
      <c r="K479" t="str">
        <f t="shared" ca="1" si="91"/>
        <v>wwww</v>
      </c>
      <c r="L479" t="str">
        <f t="shared" ca="1" si="92"/>
        <v>90- 21- 2.273 wwwwE</v>
      </c>
      <c r="M479" t="str">
        <f t="shared" ca="1" si="93"/>
        <v>90- 21- 2.273 wwwwE</v>
      </c>
      <c r="N479">
        <f t="shared" ca="1" si="94"/>
        <v>23.896213888888887</v>
      </c>
      <c r="O479">
        <f t="shared" ca="1" si="95"/>
        <v>90.350631388888885</v>
      </c>
    </row>
    <row r="480" spans="1:15" x14ac:dyDescent="0.3">
      <c r="A480" t="s">
        <v>2470</v>
      </c>
      <c r="B480" t="str">
        <f t="shared" ca="1" si="84"/>
        <v xml:space="preserve">23- </v>
      </c>
      <c r="C480" t="str">
        <f t="shared" ca="1" si="85"/>
        <v>53- 46.978 N</v>
      </c>
      <c r="D480" t="str">
        <f t="shared" ca="1" si="86"/>
        <v>}}}}}</v>
      </c>
      <c r="E480" t="str">
        <f t="shared" ca="1" si="87"/>
        <v>23- }}}}}53- 46.978 N</v>
      </c>
      <c r="F480" t="str">
        <f t="shared" ca="1" si="88"/>
        <v>23- }}}}}53- 46.978 N</v>
      </c>
      <c r="H480" t="s">
        <v>2964</v>
      </c>
      <c r="I480" t="str">
        <f t="shared" ca="1" si="89"/>
        <v>90- 21- 37.60</v>
      </c>
      <c r="J480" t="str">
        <f t="shared" ca="1" si="90"/>
        <v>1 E</v>
      </c>
      <c r="K480" t="str">
        <f t="shared" ca="1" si="91"/>
        <v>ttttt</v>
      </c>
      <c r="L480" t="str">
        <f t="shared" ca="1" si="92"/>
        <v>90- 21- 37.60ttttt1 E</v>
      </c>
      <c r="M480" t="str">
        <f t="shared" ca="1" si="93"/>
        <v>90- 21- 37.60ttttt1 E</v>
      </c>
      <c r="N480">
        <f t="shared" ca="1" si="94"/>
        <v>23.896382777777777</v>
      </c>
      <c r="O480">
        <f t="shared" ca="1" si="95"/>
        <v>90.360444722222212</v>
      </c>
    </row>
    <row r="481" spans="1:15" x14ac:dyDescent="0.3">
      <c r="A481" t="s">
        <v>2471</v>
      </c>
      <c r="B481" t="str">
        <f t="shared" ca="1" si="84"/>
        <v>23- 53- 4</v>
      </c>
      <c r="C481" t="str">
        <f t="shared" ca="1" si="85"/>
        <v>7.583 N</v>
      </c>
      <c r="D481" t="str">
        <f t="shared" ca="1" si="86"/>
        <v>hhh</v>
      </c>
      <c r="E481" t="str">
        <f t="shared" ca="1" si="87"/>
        <v>23- 53- 4hhh7.583 N</v>
      </c>
      <c r="F481" t="str">
        <f t="shared" ca="1" si="88"/>
        <v>23- 53- 4hhh7.583 N</v>
      </c>
      <c r="H481" t="s">
        <v>2965</v>
      </c>
      <c r="I481" t="str">
        <f t="shared" ca="1" si="89"/>
        <v>90- 22- 12</v>
      </c>
      <c r="J481" t="str">
        <f t="shared" ca="1" si="90"/>
        <v>.930 E</v>
      </c>
      <c r="K481" t="str">
        <f t="shared" ca="1" si="91"/>
        <v>JJJJ</v>
      </c>
      <c r="L481" t="str">
        <f t="shared" ca="1" si="92"/>
        <v>90- 22- 12JJJJ.930 E</v>
      </c>
      <c r="M481" t="str">
        <f t="shared" ca="1" si="93"/>
        <v>90- 22- 12JJJJ.930 E</v>
      </c>
      <c r="N481">
        <f t="shared" ca="1" si="94"/>
        <v>23.896550833333333</v>
      </c>
      <c r="O481">
        <f t="shared" ca="1" si="95"/>
        <v>90.370258333333325</v>
      </c>
    </row>
    <row r="482" spans="1:15" x14ac:dyDescent="0.3">
      <c r="A482" t="s">
        <v>2472</v>
      </c>
      <c r="B482" t="str">
        <f t="shared" ca="1" si="84"/>
        <v>23- 53- 4</v>
      </c>
      <c r="C482" t="str">
        <f t="shared" ca="1" si="85"/>
        <v>8.187 N</v>
      </c>
      <c r="D482" t="str">
        <f t="shared" ca="1" si="86"/>
        <v>dddd</v>
      </c>
      <c r="E482" t="str">
        <f t="shared" ca="1" si="87"/>
        <v>23- 53- 4dddd8.187 N</v>
      </c>
      <c r="F482" t="str">
        <f t="shared" ca="1" si="88"/>
        <v>23- 53- 4dddd8.187 N</v>
      </c>
      <c r="H482" t="s">
        <v>2966</v>
      </c>
      <c r="I482" t="str">
        <f t="shared" ca="1" si="89"/>
        <v>90- 22- 48.</v>
      </c>
      <c r="J482" t="str">
        <f t="shared" ca="1" si="90"/>
        <v>259 E</v>
      </c>
      <c r="K482" t="str">
        <f t="shared" ca="1" si="91"/>
        <v>zzz</v>
      </c>
      <c r="L482" t="str">
        <f t="shared" ca="1" si="92"/>
        <v>90- 22- 48.zzz259 E</v>
      </c>
      <c r="M482" t="str">
        <f t="shared" ca="1" si="93"/>
        <v>90- 22- 48.zzz259 E</v>
      </c>
      <c r="N482">
        <f t="shared" ca="1" si="94"/>
        <v>23.896718611111112</v>
      </c>
      <c r="O482">
        <f t="shared" ca="1" si="95"/>
        <v>90.380071944444438</v>
      </c>
    </row>
    <row r="483" spans="1:15" x14ac:dyDescent="0.3">
      <c r="A483" t="s">
        <v>2473</v>
      </c>
      <c r="B483" t="str">
        <f t="shared" ca="1" si="84"/>
        <v>23- 53- 48.</v>
      </c>
      <c r="C483" t="str">
        <f t="shared" ca="1" si="85"/>
        <v>788 N</v>
      </c>
      <c r="D483" t="str">
        <f t="shared" ca="1" si="86"/>
        <v>~~</v>
      </c>
      <c r="E483" t="str">
        <f t="shared" ca="1" si="87"/>
        <v>23- 53- 48.~~788 N</v>
      </c>
      <c r="F483" t="str">
        <f t="shared" ca="1" si="88"/>
        <v>23- 53- 48.~~788 N</v>
      </c>
      <c r="H483" t="s">
        <v>2967</v>
      </c>
      <c r="I483" t="str">
        <f t="shared" ca="1" si="89"/>
        <v>90- 23- 23.</v>
      </c>
      <c r="J483" t="str">
        <f t="shared" ca="1" si="90"/>
        <v>588 E</v>
      </c>
      <c r="K483" t="str">
        <f t="shared" ca="1" si="91"/>
        <v>AAAAA</v>
      </c>
      <c r="L483" t="str">
        <f t="shared" ca="1" si="92"/>
        <v>90- 23- 23.AAAAA588 E</v>
      </c>
      <c r="M483" t="str">
        <f t="shared" ca="1" si="93"/>
        <v>90- 23- 23.AAAAA588 E</v>
      </c>
      <c r="N483">
        <f t="shared" ca="1" si="94"/>
        <v>23.896885555555556</v>
      </c>
      <c r="O483">
        <f t="shared" ca="1" si="95"/>
        <v>90.389885555555566</v>
      </c>
    </row>
    <row r="484" spans="1:15" x14ac:dyDescent="0.3">
      <c r="A484" t="s">
        <v>2474</v>
      </c>
      <c r="B484" t="str">
        <f t="shared" ca="1" si="84"/>
        <v>23- 53- 4</v>
      </c>
      <c r="C484" t="str">
        <f t="shared" ca="1" si="85"/>
        <v>9.386 N</v>
      </c>
      <c r="D484" t="str">
        <f t="shared" ca="1" si="86"/>
        <v>e</v>
      </c>
      <c r="E484" t="str">
        <f t="shared" ca="1" si="87"/>
        <v>23- 53- 4e9.386 N</v>
      </c>
      <c r="F484" t="str">
        <f t="shared" ca="1" si="88"/>
        <v>23- 53- 4e9.386 N</v>
      </c>
      <c r="H484" t="s">
        <v>2968</v>
      </c>
      <c r="I484" t="str">
        <f t="shared" ca="1" si="89"/>
        <v>90-</v>
      </c>
      <c r="J484" t="str">
        <f t="shared" ca="1" si="90"/>
        <v xml:space="preserve"> 23- 58.918 E</v>
      </c>
      <c r="K484" t="str">
        <f t="shared" ca="1" si="91"/>
        <v>www</v>
      </c>
      <c r="L484" t="str">
        <f t="shared" ca="1" si="92"/>
        <v>90-www 23- 58.918 E</v>
      </c>
      <c r="M484" t="str">
        <f t="shared" ca="1" si="93"/>
        <v>90-www 23- 58.918 E</v>
      </c>
      <c r="N484">
        <f t="shared" ca="1" si="94"/>
        <v>23.897051666666666</v>
      </c>
      <c r="O484">
        <f t="shared" ca="1" si="95"/>
        <v>90.399699444444451</v>
      </c>
    </row>
    <row r="485" spans="1:15" x14ac:dyDescent="0.3">
      <c r="A485" t="s">
        <v>2475</v>
      </c>
      <c r="B485" t="str">
        <f t="shared" ca="1" si="84"/>
        <v>23- 53- 4</v>
      </c>
      <c r="C485" t="str">
        <f t="shared" ca="1" si="85"/>
        <v>9.983 N</v>
      </c>
      <c r="D485" t="str">
        <f t="shared" ca="1" si="86"/>
        <v>FFFFF</v>
      </c>
      <c r="E485" t="str">
        <f t="shared" ca="1" si="87"/>
        <v>23- 53- 4FFFFF9.983 N</v>
      </c>
      <c r="F485" t="str">
        <f t="shared" ca="1" si="88"/>
        <v>23- 53- 4FFFFF9.983 N</v>
      </c>
      <c r="H485" t="s">
        <v>2969</v>
      </c>
      <c r="I485" t="str">
        <f t="shared" ca="1" si="89"/>
        <v>90- 24- 34.247</v>
      </c>
      <c r="J485" t="str">
        <f t="shared" ca="1" si="90"/>
        <v xml:space="preserve"> E</v>
      </c>
      <c r="K485" t="str">
        <f t="shared" ca="1" si="91"/>
        <v>pppp</v>
      </c>
      <c r="L485" t="str">
        <f t="shared" ca="1" si="92"/>
        <v>90- 24- 34.247pppp E</v>
      </c>
      <c r="M485" t="str">
        <f t="shared" ca="1" si="93"/>
        <v>90- 24- 34.247pppp E</v>
      </c>
      <c r="N485">
        <f t="shared" ca="1" si="94"/>
        <v>23.8972175</v>
      </c>
      <c r="O485">
        <f t="shared" ca="1" si="95"/>
        <v>90.409513055555564</v>
      </c>
    </row>
    <row r="486" spans="1:15" x14ac:dyDescent="0.3">
      <c r="A486" t="s">
        <v>2476</v>
      </c>
      <c r="B486" t="str">
        <f t="shared" ca="1" si="84"/>
        <v>23- 53- 5</v>
      </c>
      <c r="C486" t="str">
        <f t="shared" ca="1" si="85"/>
        <v>0.577 N</v>
      </c>
      <c r="D486" t="str">
        <f t="shared" ca="1" si="86"/>
        <v>ccc</v>
      </c>
      <c r="E486" t="str">
        <f t="shared" ca="1" si="87"/>
        <v>23- 53- 5ccc0.577 N</v>
      </c>
      <c r="F486" t="str">
        <f t="shared" ca="1" si="88"/>
        <v>23- 53- 5ccc0.577 N</v>
      </c>
      <c r="H486" t="s">
        <v>2970</v>
      </c>
      <c r="I486" t="str">
        <f t="shared" ca="1" si="89"/>
        <v>90- 25- 9.</v>
      </c>
      <c r="J486" t="str">
        <f t="shared" ca="1" si="90"/>
        <v>578 E</v>
      </c>
      <c r="K486" t="str">
        <f t="shared" ca="1" si="91"/>
        <v>X</v>
      </c>
      <c r="L486" t="str">
        <f t="shared" ca="1" si="92"/>
        <v>90- 25- 9.X578 E</v>
      </c>
      <c r="M486" t="str">
        <f t="shared" ca="1" si="93"/>
        <v>90- 25- 9.X578 E</v>
      </c>
      <c r="N486">
        <f t="shared" ca="1" si="94"/>
        <v>23.897382499999999</v>
      </c>
      <c r="O486">
        <f t="shared" ca="1" si="95"/>
        <v>90.419327222222222</v>
      </c>
    </row>
    <row r="487" spans="1:15" x14ac:dyDescent="0.3">
      <c r="A487" t="s">
        <v>2477</v>
      </c>
      <c r="B487" t="str">
        <f t="shared" ca="1" si="84"/>
        <v>23- 53- 51.169</v>
      </c>
      <c r="C487" t="str">
        <f t="shared" ca="1" si="85"/>
        <v xml:space="preserve"> N</v>
      </c>
      <c r="D487" t="str">
        <f t="shared" ca="1" si="86"/>
        <v>QQQQQ</v>
      </c>
      <c r="E487" t="str">
        <f t="shared" ca="1" si="87"/>
        <v>23- 53- 51.169QQQQQ N</v>
      </c>
      <c r="F487" t="str">
        <f t="shared" ca="1" si="88"/>
        <v>23- 53- 51.169QQQQQ N</v>
      </c>
      <c r="H487" t="s">
        <v>2971</v>
      </c>
      <c r="I487" t="str">
        <f t="shared" ca="1" si="89"/>
        <v xml:space="preserve">90- </v>
      </c>
      <c r="J487" t="str">
        <f t="shared" ca="1" si="90"/>
        <v>25- 44.908 E</v>
      </c>
      <c r="K487" t="str">
        <f t="shared" ca="1" si="91"/>
        <v>ZZZ</v>
      </c>
      <c r="L487" t="str">
        <f t="shared" ca="1" si="92"/>
        <v>90- ZZZ25- 44.908 E</v>
      </c>
      <c r="M487" t="str">
        <f t="shared" ca="1" si="93"/>
        <v>90- ZZZ25- 44.908 E</v>
      </c>
      <c r="N487">
        <f t="shared" ca="1" si="94"/>
        <v>23.897546944444443</v>
      </c>
      <c r="O487">
        <f t="shared" ca="1" si="95"/>
        <v>90.429141111111122</v>
      </c>
    </row>
    <row r="488" spans="1:15" x14ac:dyDescent="0.3">
      <c r="A488" t="s">
        <v>2478</v>
      </c>
      <c r="B488" t="str">
        <f t="shared" ca="1" si="84"/>
        <v>23- 53- 51.75</v>
      </c>
      <c r="C488" t="str">
        <f t="shared" ca="1" si="85"/>
        <v>9 N</v>
      </c>
      <c r="D488" t="str">
        <f t="shared" ca="1" si="86"/>
        <v>vvvv</v>
      </c>
      <c r="E488" t="str">
        <f t="shared" ca="1" si="87"/>
        <v>23- 53- 51.75vvvv9 N</v>
      </c>
      <c r="F488" t="str">
        <f t="shared" ca="1" si="88"/>
        <v>23- 53- 51.75vvvv9 N</v>
      </c>
      <c r="H488" t="s">
        <v>2972</v>
      </c>
      <c r="I488" t="str">
        <f t="shared" ca="1" si="89"/>
        <v xml:space="preserve">90- </v>
      </c>
      <c r="J488" t="str">
        <f t="shared" ca="1" si="90"/>
        <v>26- 20.239 E</v>
      </c>
      <c r="K488" t="str">
        <f t="shared" ca="1" si="91"/>
        <v>dddd</v>
      </c>
      <c r="L488" t="str">
        <f t="shared" ca="1" si="92"/>
        <v>90- dddd26- 20.239 E</v>
      </c>
      <c r="M488" t="str">
        <f t="shared" ca="1" si="93"/>
        <v>90- dddd26- 20.239 E</v>
      </c>
      <c r="N488">
        <f t="shared" ca="1" si="94"/>
        <v>23.897710833333331</v>
      </c>
      <c r="O488">
        <f t="shared" ca="1" si="95"/>
        <v>90.438955277777779</v>
      </c>
    </row>
    <row r="489" spans="1:15" x14ac:dyDescent="0.3">
      <c r="A489" t="s">
        <v>2479</v>
      </c>
      <c r="B489" t="str">
        <f t="shared" ca="1" si="84"/>
        <v xml:space="preserve">23- 53- </v>
      </c>
      <c r="C489" t="str">
        <f t="shared" ca="1" si="85"/>
        <v>52.346 N</v>
      </c>
      <c r="D489" t="str">
        <f t="shared" ca="1" si="86"/>
        <v>^^</v>
      </c>
      <c r="E489" t="str">
        <f t="shared" ca="1" si="87"/>
        <v>23- 53- ^^52.346 N</v>
      </c>
      <c r="F489" t="str">
        <f t="shared" ca="1" si="88"/>
        <v>23- 53- ^^52.346 N</v>
      </c>
      <c r="H489" t="s">
        <v>2973</v>
      </c>
      <c r="I489" t="str">
        <f t="shared" ca="1" si="89"/>
        <v>90- 26- 55.5</v>
      </c>
      <c r="J489" t="str">
        <f t="shared" ca="1" si="90"/>
        <v>70 E</v>
      </c>
      <c r="K489" t="str">
        <f t="shared" ca="1" si="91"/>
        <v>bbbb</v>
      </c>
      <c r="L489" t="str">
        <f t="shared" ca="1" si="92"/>
        <v>90- 26- 55.5bbbb70 E</v>
      </c>
      <c r="M489" t="str">
        <f t="shared" ca="1" si="93"/>
        <v>90- 26- 55.5bbbb70 E</v>
      </c>
      <c r="N489">
        <f t="shared" ca="1" si="94"/>
        <v>23.897873888888888</v>
      </c>
      <c r="O489">
        <f t="shared" ca="1" si="95"/>
        <v>90.448769444444451</v>
      </c>
    </row>
    <row r="490" spans="1:15" x14ac:dyDescent="0.3">
      <c r="A490" t="s">
        <v>2480</v>
      </c>
      <c r="B490" t="str">
        <f t="shared" ca="1" si="84"/>
        <v>23- 53- 52</v>
      </c>
      <c r="C490" t="str">
        <f t="shared" ca="1" si="85"/>
        <v>.931 N</v>
      </c>
      <c r="D490" t="str">
        <f t="shared" ca="1" si="86"/>
        <v>~~</v>
      </c>
      <c r="E490" t="str">
        <f t="shared" ca="1" si="87"/>
        <v>23- 53- 52~~.931 N</v>
      </c>
      <c r="F490" t="str">
        <f t="shared" ca="1" si="88"/>
        <v>23- 53- 52~~.931 N</v>
      </c>
      <c r="H490" t="s">
        <v>2974</v>
      </c>
      <c r="I490" t="str">
        <f t="shared" ca="1" si="89"/>
        <v>90- 27- 30.90</v>
      </c>
      <c r="J490" t="str">
        <f t="shared" ca="1" si="90"/>
        <v>2 E</v>
      </c>
      <c r="K490" t="str">
        <f t="shared" ca="1" si="91"/>
        <v>ss</v>
      </c>
      <c r="L490" t="str">
        <f t="shared" ca="1" si="92"/>
        <v>90- 27- 30.90ss2 E</v>
      </c>
      <c r="M490" t="str">
        <f t="shared" ca="1" si="93"/>
        <v>90- 27- 30.90ss2 E</v>
      </c>
      <c r="N490">
        <f t="shared" ca="1" si="94"/>
        <v>23.898036388888887</v>
      </c>
      <c r="O490">
        <f t="shared" ca="1" si="95"/>
        <v>90.458583888888896</v>
      </c>
    </row>
    <row r="491" spans="1:15" x14ac:dyDescent="0.3">
      <c r="A491" t="s">
        <v>2481</v>
      </c>
      <c r="B491" t="str">
        <f t="shared" ca="1" si="84"/>
        <v>23- 5</v>
      </c>
      <c r="C491" t="str">
        <f t="shared" ca="1" si="85"/>
        <v>3- 53.514 N</v>
      </c>
      <c r="D491" t="str">
        <f t="shared" ca="1" si="86"/>
        <v>ccc</v>
      </c>
      <c r="E491" t="str">
        <f t="shared" ca="1" si="87"/>
        <v>23- 5ccc3- 53.514 N</v>
      </c>
      <c r="F491" t="str">
        <f t="shared" ca="1" si="88"/>
        <v>23- 5ccc3- 53.514 N</v>
      </c>
      <c r="H491" t="s">
        <v>2975</v>
      </c>
      <c r="I491" t="str">
        <f t="shared" ca="1" si="89"/>
        <v>90- 28-</v>
      </c>
      <c r="J491" t="str">
        <f t="shared" ca="1" si="90"/>
        <v xml:space="preserve"> 6.233 E</v>
      </c>
      <c r="K491" t="str">
        <f t="shared" ca="1" si="91"/>
        <v>Y</v>
      </c>
      <c r="L491" t="str">
        <f t="shared" ca="1" si="92"/>
        <v>90- 28-Y 6.233 E</v>
      </c>
      <c r="M491" t="str">
        <f t="shared" ca="1" si="93"/>
        <v>90- 28-Y 6.233 E</v>
      </c>
      <c r="N491">
        <f t="shared" ca="1" si="94"/>
        <v>23.898198333333333</v>
      </c>
      <c r="O491">
        <f t="shared" ca="1" si="95"/>
        <v>90.468398055555554</v>
      </c>
    </row>
    <row r="492" spans="1:15" x14ac:dyDescent="0.3">
      <c r="A492" t="s">
        <v>2482</v>
      </c>
      <c r="B492" t="str">
        <f t="shared" ca="1" si="84"/>
        <v>23- 53- 54.095 N</v>
      </c>
      <c r="C492" t="str">
        <f t="shared" ca="1" si="85"/>
        <v/>
      </c>
      <c r="D492" t="str">
        <f t="shared" ca="1" si="86"/>
        <v>||||</v>
      </c>
      <c r="E492" t="str">
        <f t="shared" ca="1" si="87"/>
        <v>23- 53- 54.095 N||||</v>
      </c>
      <c r="F492" t="str">
        <f t="shared" ca="1" si="88"/>
        <v>23- 53- 54.095 N||||</v>
      </c>
      <c r="H492" t="s">
        <v>2976</v>
      </c>
      <c r="I492" t="str">
        <f t="shared" ca="1" si="89"/>
        <v>90- 28- 41.565 E</v>
      </c>
      <c r="J492" t="str">
        <f t="shared" ca="1" si="90"/>
        <v/>
      </c>
      <c r="K492" t="str">
        <f t="shared" ca="1" si="91"/>
        <v>Q</v>
      </c>
      <c r="L492" t="str">
        <f t="shared" ca="1" si="92"/>
        <v>90- 28- 41.565 EQ</v>
      </c>
      <c r="M492" t="str">
        <f t="shared" ca="1" si="93"/>
        <v>90- 28- 41.565 EQ</v>
      </c>
      <c r="N492">
        <f t="shared" ca="1" si="94"/>
        <v>23.898359722222221</v>
      </c>
      <c r="O492">
        <f t="shared" ca="1" si="95"/>
        <v>90.478212499999998</v>
      </c>
    </row>
    <row r="493" spans="1:15" x14ac:dyDescent="0.3">
      <c r="A493" t="s">
        <v>2483</v>
      </c>
      <c r="B493" t="str">
        <f t="shared" ca="1" si="84"/>
        <v>23- 53- 54.674 N</v>
      </c>
      <c r="C493" t="str">
        <f t="shared" ca="1" si="85"/>
        <v/>
      </c>
      <c r="D493" t="str">
        <f t="shared" ca="1" si="86"/>
        <v>EEEE</v>
      </c>
      <c r="E493" t="str">
        <f t="shared" ca="1" si="87"/>
        <v>23- 53- 54.674 NEEEE</v>
      </c>
      <c r="F493" t="str">
        <f t="shared" ca="1" si="88"/>
        <v>23- 53- 54.674 NEEEE</v>
      </c>
      <c r="H493" t="s">
        <v>2977</v>
      </c>
      <c r="I493" t="str">
        <f t="shared" ca="1" si="89"/>
        <v>90- 29- 16.898 E</v>
      </c>
      <c r="J493" t="str">
        <f t="shared" ca="1" si="90"/>
        <v/>
      </c>
      <c r="K493" t="str">
        <f t="shared" ca="1" si="91"/>
        <v>}</v>
      </c>
      <c r="L493" t="str">
        <f t="shared" ca="1" si="92"/>
        <v>90- 29- 16.898 E}</v>
      </c>
      <c r="M493" t="str">
        <f t="shared" ca="1" si="93"/>
        <v>90- 29- 16.898 E}</v>
      </c>
      <c r="N493">
        <f t="shared" ca="1" si="94"/>
        <v>23.898520555555557</v>
      </c>
      <c r="O493">
        <f t="shared" ca="1" si="95"/>
        <v>90.488027222222229</v>
      </c>
    </row>
    <row r="494" spans="1:15" x14ac:dyDescent="0.3">
      <c r="A494" t="s">
        <v>2484</v>
      </c>
      <c r="B494" t="str">
        <f t="shared" ca="1" si="84"/>
        <v>23- 53-</v>
      </c>
      <c r="C494" t="str">
        <f t="shared" ca="1" si="85"/>
        <v xml:space="preserve"> 55.250 N</v>
      </c>
      <c r="D494" t="str">
        <f t="shared" ca="1" si="86"/>
        <v>YYY</v>
      </c>
      <c r="E494" t="str">
        <f t="shared" ca="1" si="87"/>
        <v>23- 53-YYY 55.250 N</v>
      </c>
      <c r="F494" t="str">
        <f t="shared" ca="1" si="88"/>
        <v>23- 53-YYY 55.250 N</v>
      </c>
      <c r="H494" t="s">
        <v>2978</v>
      </c>
      <c r="I494" t="str">
        <f t="shared" ca="1" si="89"/>
        <v>90- 29- 52.23</v>
      </c>
      <c r="J494" t="str">
        <f t="shared" ca="1" si="90"/>
        <v>1 E</v>
      </c>
      <c r="K494" t="str">
        <f t="shared" ca="1" si="91"/>
        <v>x</v>
      </c>
      <c r="L494" t="str">
        <f t="shared" ca="1" si="92"/>
        <v>90- 29- 52.23x1 E</v>
      </c>
      <c r="M494" t="str">
        <f t="shared" ca="1" si="93"/>
        <v>90- 29- 52.23x1 E</v>
      </c>
      <c r="N494">
        <f t="shared" ca="1" si="94"/>
        <v>23.898680555555554</v>
      </c>
      <c r="O494">
        <f t="shared" ca="1" si="95"/>
        <v>90.497841944444446</v>
      </c>
    </row>
    <row r="495" spans="1:15" x14ac:dyDescent="0.3">
      <c r="A495" t="s">
        <v>2485</v>
      </c>
      <c r="B495" t="str">
        <f t="shared" ca="1" si="84"/>
        <v>23-</v>
      </c>
      <c r="C495" t="str">
        <f t="shared" ca="1" si="85"/>
        <v xml:space="preserve"> 53- 55.824 N</v>
      </c>
      <c r="D495" t="str">
        <f t="shared" ca="1" si="86"/>
        <v>JJ</v>
      </c>
      <c r="E495" t="str">
        <f t="shared" ca="1" si="87"/>
        <v>23-JJ 53- 55.824 N</v>
      </c>
      <c r="F495" t="str">
        <f t="shared" ca="1" si="88"/>
        <v>23-JJ 53- 55.824 N</v>
      </c>
      <c r="H495" t="s">
        <v>2979</v>
      </c>
      <c r="I495" t="str">
        <f t="shared" ca="1" si="89"/>
        <v>90- 30- 2</v>
      </c>
      <c r="J495" t="str">
        <f t="shared" ca="1" si="90"/>
        <v>7.564 E</v>
      </c>
      <c r="K495" t="str">
        <f t="shared" ca="1" si="91"/>
        <v>mmm</v>
      </c>
      <c r="L495" t="str">
        <f t="shared" ca="1" si="92"/>
        <v>90- 30- 2mmm7.564 E</v>
      </c>
      <c r="M495" s="9" t="str">
        <f t="shared" ca="1" si="93"/>
        <v>90- 30- 2mmm7.564 E</v>
      </c>
      <c r="N495">
        <f t="shared" ca="1" si="94"/>
        <v>23.89884</v>
      </c>
      <c r="O495">
        <f t="shared" ca="1" si="95"/>
        <v>90.507656666666662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95"/>
  <sheetViews>
    <sheetView topLeftCell="A472" workbookViewId="0">
      <selection activeCell="D495" sqref="D495"/>
    </sheetView>
  </sheetViews>
  <sheetFormatPr defaultRowHeight="14.4" x14ac:dyDescent="0.3"/>
  <cols>
    <col min="1" max="1" width="26.88671875" bestFit="1" customWidth="1"/>
    <col min="2" max="2" width="29.109375" bestFit="1" customWidth="1"/>
    <col min="3" max="3" width="23.109375" bestFit="1" customWidth="1"/>
    <col min="4" max="4" width="24.44140625" bestFit="1" customWidth="1"/>
  </cols>
  <sheetData>
    <row r="1" spans="1:4" x14ac:dyDescent="0.3">
      <c r="A1" s="9" t="s">
        <v>13</v>
      </c>
      <c r="B1" s="8" t="s">
        <v>12</v>
      </c>
      <c r="C1" s="9" t="s">
        <v>14</v>
      </c>
      <c r="D1" s="8" t="s">
        <v>15</v>
      </c>
    </row>
    <row r="2" spans="1:4" x14ac:dyDescent="0.3">
      <c r="A2" t="s">
        <v>16</v>
      </c>
      <c r="B2" t="s">
        <v>17</v>
      </c>
      <c r="C2">
        <f>DecimalDegreesConverter(A2,,,,TRUE)</f>
        <v>23.670306666666669</v>
      </c>
      <c r="D2">
        <f>DecimalDegreesConverter(B2,,,,TRUE)</f>
        <v>90.335608888888885</v>
      </c>
    </row>
    <row r="3" spans="1:4" x14ac:dyDescent="0.3">
      <c r="A3" t="s">
        <v>18</v>
      </c>
      <c r="B3" t="s">
        <v>19</v>
      </c>
      <c r="C3">
        <f t="shared" ref="C3:C66" si="0">DecimalDegreesConverter(A3,,,,TRUE)</f>
        <v>23.670474722222224</v>
      </c>
      <c r="D3">
        <f t="shared" ref="D3:D66" si="1">DecimalDegreesConverter(B3,,,,TRUE)</f>
        <v>90.345405277777772</v>
      </c>
    </row>
    <row r="4" spans="1:4" x14ac:dyDescent="0.3">
      <c r="A4" t="s">
        <v>20</v>
      </c>
      <c r="B4" t="s">
        <v>21</v>
      </c>
      <c r="C4">
        <f t="shared" si="0"/>
        <v>23.6706425</v>
      </c>
      <c r="D4">
        <f t="shared" si="1"/>
        <v>90.355201666666659</v>
      </c>
    </row>
    <row r="5" spans="1:4" x14ac:dyDescent="0.3">
      <c r="A5" t="s">
        <v>22</v>
      </c>
      <c r="B5" t="s">
        <v>23</v>
      </c>
      <c r="C5">
        <f t="shared" si="0"/>
        <v>23.670809444444444</v>
      </c>
      <c r="D5">
        <f t="shared" si="1"/>
        <v>90.364998333333332</v>
      </c>
    </row>
    <row r="6" spans="1:4" x14ac:dyDescent="0.3">
      <c r="A6" t="s">
        <v>24</v>
      </c>
      <c r="B6" t="s">
        <v>25</v>
      </c>
      <c r="C6">
        <f t="shared" si="0"/>
        <v>23.670975833333333</v>
      </c>
      <c r="D6">
        <f t="shared" si="1"/>
        <v>90.374794999999992</v>
      </c>
    </row>
    <row r="7" spans="1:4" x14ac:dyDescent="0.3">
      <c r="A7" t="s">
        <v>26</v>
      </c>
      <c r="B7" t="s">
        <v>27</v>
      </c>
      <c r="C7">
        <f t="shared" si="0"/>
        <v>23.671141666666667</v>
      </c>
      <c r="D7">
        <f t="shared" si="1"/>
        <v>90.38459166666668</v>
      </c>
    </row>
    <row r="8" spans="1:4" x14ac:dyDescent="0.3">
      <c r="A8" t="s">
        <v>28</v>
      </c>
      <c r="B8" t="s">
        <v>29</v>
      </c>
      <c r="C8">
        <f t="shared" si="0"/>
        <v>23.671306944444446</v>
      </c>
      <c r="D8">
        <f t="shared" si="1"/>
        <v>90.394388333333339</v>
      </c>
    </row>
    <row r="9" spans="1:4" x14ac:dyDescent="0.3">
      <c r="A9" t="s">
        <v>30</v>
      </c>
      <c r="B9" t="s">
        <v>31</v>
      </c>
      <c r="C9">
        <f t="shared" si="0"/>
        <v>23.671471388888889</v>
      </c>
      <c r="D9">
        <f t="shared" si="1"/>
        <v>90.404185277777785</v>
      </c>
    </row>
    <row r="10" spans="1:4" x14ac:dyDescent="0.3">
      <c r="A10" t="s">
        <v>32</v>
      </c>
      <c r="B10" t="s">
        <v>33</v>
      </c>
      <c r="C10">
        <f t="shared" si="0"/>
        <v>23.671635277777778</v>
      </c>
      <c r="D10">
        <f t="shared" si="1"/>
        <v>90.413982222222231</v>
      </c>
    </row>
    <row r="11" spans="1:4" x14ac:dyDescent="0.3">
      <c r="A11" t="s">
        <v>34</v>
      </c>
      <c r="B11" t="s">
        <v>35</v>
      </c>
      <c r="C11">
        <f t="shared" si="0"/>
        <v>23.671798611111111</v>
      </c>
      <c r="D11">
        <f t="shared" si="1"/>
        <v>90.423779166666677</v>
      </c>
    </row>
    <row r="12" spans="1:4" x14ac:dyDescent="0.3">
      <c r="A12" t="s">
        <v>36</v>
      </c>
      <c r="B12" t="s">
        <v>37</v>
      </c>
      <c r="C12">
        <f t="shared" si="0"/>
        <v>23.671961388888889</v>
      </c>
      <c r="D12">
        <f t="shared" si="1"/>
        <v>90.433576388888895</v>
      </c>
    </row>
    <row r="13" spans="1:4" x14ac:dyDescent="0.3">
      <c r="A13" t="s">
        <v>38</v>
      </c>
      <c r="B13" t="s">
        <v>39</v>
      </c>
      <c r="C13">
        <f t="shared" si="0"/>
        <v>23.672123333333335</v>
      </c>
      <c r="D13">
        <f t="shared" si="1"/>
        <v>90.443373611111113</v>
      </c>
    </row>
    <row r="14" spans="1:4" x14ac:dyDescent="0.3">
      <c r="A14" t="s">
        <v>40</v>
      </c>
      <c r="B14" t="s">
        <v>41</v>
      </c>
      <c r="C14">
        <f t="shared" si="0"/>
        <v>23.672285000000002</v>
      </c>
      <c r="D14">
        <f t="shared" si="1"/>
        <v>90.453171111111118</v>
      </c>
    </row>
    <row r="15" spans="1:4" x14ac:dyDescent="0.3">
      <c r="A15" t="s">
        <v>42</v>
      </c>
      <c r="B15" t="s">
        <v>43</v>
      </c>
      <c r="C15">
        <f t="shared" si="0"/>
        <v>23.672445833333335</v>
      </c>
      <c r="D15">
        <f t="shared" si="1"/>
        <v>90.462968333333336</v>
      </c>
    </row>
    <row r="16" spans="1:4" x14ac:dyDescent="0.3">
      <c r="A16" t="s">
        <v>44</v>
      </c>
      <c r="B16" t="s">
        <v>45</v>
      </c>
      <c r="C16">
        <f t="shared" si="0"/>
        <v>23.672606111111111</v>
      </c>
      <c r="D16">
        <f t="shared" si="1"/>
        <v>90.472765833333341</v>
      </c>
    </row>
    <row r="17" spans="1:4" x14ac:dyDescent="0.3">
      <c r="A17" t="s">
        <v>46</v>
      </c>
      <c r="B17" t="s">
        <v>47</v>
      </c>
      <c r="C17">
        <f t="shared" si="0"/>
        <v>23.672765555555557</v>
      </c>
      <c r="D17">
        <f t="shared" si="1"/>
        <v>90.482563333333331</v>
      </c>
    </row>
    <row r="18" spans="1:4" x14ac:dyDescent="0.3">
      <c r="A18" t="s">
        <v>48</v>
      </c>
      <c r="B18" t="s">
        <v>49</v>
      </c>
      <c r="C18">
        <f t="shared" si="0"/>
        <v>23.672924722222223</v>
      </c>
      <c r="D18">
        <f t="shared" si="1"/>
        <v>90.492361111111109</v>
      </c>
    </row>
    <row r="19" spans="1:4" x14ac:dyDescent="0.3">
      <c r="A19" t="s">
        <v>50</v>
      </c>
      <c r="B19" t="s">
        <v>51</v>
      </c>
      <c r="C19">
        <f t="shared" si="0"/>
        <v>23.673083055555558</v>
      </c>
      <c r="D19">
        <f t="shared" si="1"/>
        <v>90.502158888888886</v>
      </c>
    </row>
    <row r="20" spans="1:4" x14ac:dyDescent="0.3">
      <c r="A20" t="s">
        <v>52</v>
      </c>
      <c r="B20" t="s">
        <v>53</v>
      </c>
      <c r="C20">
        <f t="shared" si="0"/>
        <v>23.673240833333335</v>
      </c>
      <c r="D20">
        <f t="shared" si="1"/>
        <v>90.511956666666663</v>
      </c>
    </row>
    <row r="21" spans="1:4" x14ac:dyDescent="0.3">
      <c r="A21" t="s">
        <v>54</v>
      </c>
      <c r="B21" t="s">
        <v>55</v>
      </c>
      <c r="C21">
        <f t="shared" si="0"/>
        <v>23.679329444444445</v>
      </c>
      <c r="D21">
        <f t="shared" si="1"/>
        <v>90.335425833333332</v>
      </c>
    </row>
    <row r="22" spans="1:4" x14ac:dyDescent="0.3">
      <c r="A22" t="s">
        <v>56</v>
      </c>
      <c r="B22" t="s">
        <v>57</v>
      </c>
      <c r="C22">
        <f t="shared" si="0"/>
        <v>23.67949777777778</v>
      </c>
      <c r="D22">
        <f t="shared" si="1"/>
        <v>90.34522305555555</v>
      </c>
    </row>
    <row r="23" spans="1:4" x14ac:dyDescent="0.3">
      <c r="A23" t="s">
        <v>58</v>
      </c>
      <c r="B23" t="s">
        <v>59</v>
      </c>
      <c r="C23">
        <f t="shared" si="0"/>
        <v>23.679665555555555</v>
      </c>
      <c r="D23">
        <f t="shared" si="1"/>
        <v>90.355019999999996</v>
      </c>
    </row>
    <row r="24" spans="1:4" x14ac:dyDescent="0.3">
      <c r="A24" t="s">
        <v>60</v>
      </c>
      <c r="B24" t="s">
        <v>61</v>
      </c>
      <c r="C24">
        <f t="shared" si="0"/>
        <v>23.6798325</v>
      </c>
      <c r="D24">
        <f t="shared" si="1"/>
        <v>90.364817222222214</v>
      </c>
    </row>
    <row r="25" spans="1:4" x14ac:dyDescent="0.3">
      <c r="A25" t="s">
        <v>62</v>
      </c>
      <c r="B25" t="s">
        <v>63</v>
      </c>
      <c r="C25">
        <f t="shared" si="0"/>
        <v>23.679999166666668</v>
      </c>
      <c r="D25">
        <f t="shared" si="1"/>
        <v>90.374614444444433</v>
      </c>
    </row>
    <row r="26" spans="1:4" x14ac:dyDescent="0.3">
      <c r="A26" t="s">
        <v>64</v>
      </c>
      <c r="B26" t="s">
        <v>65</v>
      </c>
      <c r="C26">
        <f t="shared" si="0"/>
        <v>23.680165000000002</v>
      </c>
      <c r="D26">
        <f t="shared" si="1"/>
        <v>90.384411944444452</v>
      </c>
    </row>
    <row r="27" spans="1:4" x14ac:dyDescent="0.3">
      <c r="A27" t="s">
        <v>66</v>
      </c>
      <c r="B27" t="s">
        <v>67</v>
      </c>
      <c r="C27">
        <f t="shared" si="0"/>
        <v>23.680330277777777</v>
      </c>
      <c r="D27">
        <f t="shared" si="1"/>
        <v>90.394209444444456</v>
      </c>
    </row>
    <row r="28" spans="1:4" x14ac:dyDescent="0.3">
      <c r="A28" t="s">
        <v>68</v>
      </c>
      <c r="B28" t="s">
        <v>69</v>
      </c>
      <c r="C28">
        <f t="shared" si="0"/>
        <v>23.680494722222225</v>
      </c>
      <c r="D28">
        <f t="shared" si="1"/>
        <v>90.404006944444447</v>
      </c>
    </row>
    <row r="29" spans="1:4" x14ac:dyDescent="0.3">
      <c r="A29" t="s">
        <v>70</v>
      </c>
      <c r="B29" t="s">
        <v>71</v>
      </c>
      <c r="C29">
        <f t="shared" si="0"/>
        <v>23.680658888888889</v>
      </c>
      <c r="D29">
        <f t="shared" si="1"/>
        <v>90.413804444444452</v>
      </c>
    </row>
    <row r="30" spans="1:4" x14ac:dyDescent="0.3">
      <c r="A30" t="s">
        <v>72</v>
      </c>
      <c r="B30" t="s">
        <v>73</v>
      </c>
      <c r="C30">
        <f t="shared" si="0"/>
        <v>23.680822222222222</v>
      </c>
      <c r="D30">
        <f t="shared" si="1"/>
        <v>90.423602222222229</v>
      </c>
    </row>
    <row r="31" spans="1:4" x14ac:dyDescent="0.3">
      <c r="A31" t="s">
        <v>74</v>
      </c>
      <c r="B31" t="s">
        <v>75</v>
      </c>
      <c r="C31">
        <f t="shared" si="0"/>
        <v>23.680985</v>
      </c>
      <c r="D31">
        <f t="shared" si="1"/>
        <v>90.433400000000006</v>
      </c>
    </row>
    <row r="32" spans="1:4" x14ac:dyDescent="0.3">
      <c r="A32" t="s">
        <v>76</v>
      </c>
      <c r="B32" t="s">
        <v>77</v>
      </c>
      <c r="C32">
        <f t="shared" si="0"/>
        <v>23.681147222222222</v>
      </c>
      <c r="D32">
        <f t="shared" si="1"/>
        <v>90.443198055555555</v>
      </c>
    </row>
    <row r="33" spans="1:4" x14ac:dyDescent="0.3">
      <c r="A33" t="s">
        <v>78</v>
      </c>
      <c r="B33" t="s">
        <v>79</v>
      </c>
      <c r="C33">
        <f t="shared" si="0"/>
        <v>23.681308611111113</v>
      </c>
      <c r="D33">
        <f t="shared" si="1"/>
        <v>90.452996111111119</v>
      </c>
    </row>
    <row r="34" spans="1:4" x14ac:dyDescent="0.3">
      <c r="A34" t="s">
        <v>80</v>
      </c>
      <c r="B34" t="s">
        <v>81</v>
      </c>
      <c r="C34">
        <f t="shared" si="0"/>
        <v>23.681469444444446</v>
      </c>
      <c r="D34">
        <f t="shared" si="1"/>
        <v>90.462794166666669</v>
      </c>
    </row>
    <row r="35" spans="1:4" x14ac:dyDescent="0.3">
      <c r="A35" t="s">
        <v>82</v>
      </c>
      <c r="B35" t="s">
        <v>83</v>
      </c>
      <c r="C35">
        <f t="shared" si="0"/>
        <v>23.681629722222223</v>
      </c>
      <c r="D35">
        <f t="shared" si="1"/>
        <v>90.472592222222218</v>
      </c>
    </row>
    <row r="36" spans="1:4" x14ac:dyDescent="0.3">
      <c r="A36" t="s">
        <v>84</v>
      </c>
      <c r="B36" t="s">
        <v>85</v>
      </c>
      <c r="C36">
        <f t="shared" si="0"/>
        <v>23.681789444444444</v>
      </c>
      <c r="D36">
        <f t="shared" si="1"/>
        <v>90.482390555555554</v>
      </c>
    </row>
    <row r="37" spans="1:4" x14ac:dyDescent="0.3">
      <c r="A37" t="s">
        <v>86</v>
      </c>
      <c r="B37" t="s">
        <v>87</v>
      </c>
      <c r="C37">
        <f t="shared" si="0"/>
        <v>23.681948611111114</v>
      </c>
      <c r="D37">
        <f t="shared" si="1"/>
        <v>90.49218888888889</v>
      </c>
    </row>
    <row r="38" spans="1:4" x14ac:dyDescent="0.3">
      <c r="A38" t="s">
        <v>88</v>
      </c>
      <c r="B38" t="s">
        <v>89</v>
      </c>
      <c r="C38">
        <f t="shared" si="0"/>
        <v>23.682106944444445</v>
      </c>
      <c r="D38">
        <f t="shared" si="1"/>
        <v>90.501987222222226</v>
      </c>
    </row>
    <row r="39" spans="1:4" x14ac:dyDescent="0.3">
      <c r="A39" t="s">
        <v>90</v>
      </c>
      <c r="B39" t="s">
        <v>91</v>
      </c>
      <c r="C39">
        <f t="shared" si="0"/>
        <v>23.682264722222225</v>
      </c>
      <c r="D39">
        <f t="shared" si="1"/>
        <v>90.511785833333334</v>
      </c>
    </row>
    <row r="40" spans="1:4" x14ac:dyDescent="0.3">
      <c r="A40" t="s">
        <v>92</v>
      </c>
      <c r="B40" t="s">
        <v>93</v>
      </c>
      <c r="C40">
        <f t="shared" si="0"/>
        <v>23.688352222222221</v>
      </c>
      <c r="D40">
        <f t="shared" si="1"/>
        <v>90.335242777777779</v>
      </c>
    </row>
    <row r="41" spans="1:4" x14ac:dyDescent="0.3">
      <c r="A41" t="s">
        <v>94</v>
      </c>
      <c r="B41" t="s">
        <v>95</v>
      </c>
      <c r="C41">
        <f t="shared" si="0"/>
        <v>23.688520555555556</v>
      </c>
      <c r="D41">
        <f t="shared" si="1"/>
        <v>90.345040555555556</v>
      </c>
    </row>
    <row r="42" spans="1:4" x14ac:dyDescent="0.3">
      <c r="A42" t="s">
        <v>96</v>
      </c>
      <c r="B42" t="s">
        <v>97</v>
      </c>
      <c r="C42">
        <f t="shared" si="0"/>
        <v>23.688688333333335</v>
      </c>
      <c r="D42">
        <f t="shared" si="1"/>
        <v>90.354838333333333</v>
      </c>
    </row>
    <row r="43" spans="1:4" x14ac:dyDescent="0.3">
      <c r="A43" t="s">
        <v>98</v>
      </c>
      <c r="B43" t="s">
        <v>99</v>
      </c>
      <c r="C43">
        <f t="shared" si="0"/>
        <v>23.688855555555556</v>
      </c>
      <c r="D43">
        <f t="shared" si="1"/>
        <v>90.36463611111111</v>
      </c>
    </row>
    <row r="44" spans="1:4" x14ac:dyDescent="0.3">
      <c r="A44" t="s">
        <v>100</v>
      </c>
      <c r="B44" t="s">
        <v>101</v>
      </c>
      <c r="C44">
        <f t="shared" si="0"/>
        <v>23.689022222222224</v>
      </c>
      <c r="D44">
        <f t="shared" si="1"/>
        <v>90.37443416666666</v>
      </c>
    </row>
    <row r="45" spans="1:4" x14ac:dyDescent="0.3">
      <c r="A45" t="s">
        <v>102</v>
      </c>
      <c r="B45" t="s">
        <v>103</v>
      </c>
      <c r="C45">
        <f t="shared" si="0"/>
        <v>23.689188055555555</v>
      </c>
      <c r="D45">
        <f t="shared" si="1"/>
        <v>90.384231944444451</v>
      </c>
    </row>
    <row r="46" spans="1:4" x14ac:dyDescent="0.3">
      <c r="A46" t="s">
        <v>104</v>
      </c>
      <c r="B46" t="s">
        <v>105</v>
      </c>
      <c r="C46">
        <f t="shared" si="0"/>
        <v>23.689353333333333</v>
      </c>
      <c r="D46">
        <f t="shared" si="1"/>
        <v>90.394030277777787</v>
      </c>
    </row>
    <row r="47" spans="1:4" x14ac:dyDescent="0.3">
      <c r="A47" t="s">
        <v>106</v>
      </c>
      <c r="B47" t="s">
        <v>107</v>
      </c>
      <c r="C47">
        <f t="shared" si="0"/>
        <v>23.689518055555556</v>
      </c>
      <c r="D47">
        <f t="shared" si="1"/>
        <v>90.403828333333337</v>
      </c>
    </row>
    <row r="48" spans="1:4" x14ac:dyDescent="0.3">
      <c r="A48" t="s">
        <v>108</v>
      </c>
      <c r="B48" t="s">
        <v>109</v>
      </c>
      <c r="C48">
        <f t="shared" si="0"/>
        <v>23.689682222222224</v>
      </c>
      <c r="D48">
        <f t="shared" si="1"/>
        <v>90.413626666666673</v>
      </c>
    </row>
    <row r="49" spans="1:4" x14ac:dyDescent="0.3">
      <c r="A49" t="s">
        <v>110</v>
      </c>
      <c r="B49" t="s">
        <v>111</v>
      </c>
      <c r="C49">
        <f t="shared" si="0"/>
        <v>23.689845555555557</v>
      </c>
      <c r="D49">
        <f t="shared" si="1"/>
        <v>90.423425277777781</v>
      </c>
    </row>
    <row r="50" spans="1:4" x14ac:dyDescent="0.3">
      <c r="A50" t="s">
        <v>112</v>
      </c>
      <c r="B50" t="s">
        <v>113</v>
      </c>
      <c r="C50">
        <f t="shared" si="0"/>
        <v>23.690008611111111</v>
      </c>
      <c r="D50">
        <f t="shared" si="1"/>
        <v>90.433223611111117</v>
      </c>
    </row>
    <row r="51" spans="1:4" x14ac:dyDescent="0.3">
      <c r="A51" t="s">
        <v>114</v>
      </c>
      <c r="B51" t="s">
        <v>115</v>
      </c>
      <c r="C51">
        <f t="shared" si="0"/>
        <v>23.690170833333333</v>
      </c>
      <c r="D51">
        <f t="shared" si="1"/>
        <v>90.443022222222226</v>
      </c>
    </row>
    <row r="52" spans="1:4" x14ac:dyDescent="0.3">
      <c r="A52" t="s">
        <v>116</v>
      </c>
      <c r="B52" t="s">
        <v>117</v>
      </c>
      <c r="C52">
        <f t="shared" si="0"/>
        <v>23.690332222222221</v>
      </c>
      <c r="D52">
        <f t="shared" si="1"/>
        <v>90.452820833333334</v>
      </c>
    </row>
    <row r="53" spans="1:4" x14ac:dyDescent="0.3">
      <c r="A53" t="s">
        <v>118</v>
      </c>
      <c r="B53" t="s">
        <v>119</v>
      </c>
      <c r="C53">
        <f t="shared" si="0"/>
        <v>23.690493333333333</v>
      </c>
      <c r="D53">
        <f t="shared" si="1"/>
        <v>90.462619722222229</v>
      </c>
    </row>
    <row r="54" spans="1:4" x14ac:dyDescent="0.3">
      <c r="A54" t="s">
        <v>120</v>
      </c>
      <c r="B54" t="s">
        <v>121</v>
      </c>
      <c r="C54">
        <f t="shared" si="0"/>
        <v>23.690653611111113</v>
      </c>
      <c r="D54">
        <f t="shared" si="1"/>
        <v>90.472418333333337</v>
      </c>
    </row>
    <row r="55" spans="1:4" x14ac:dyDescent="0.3">
      <c r="A55" t="s">
        <v>122</v>
      </c>
      <c r="B55" t="s">
        <v>123</v>
      </c>
      <c r="C55">
        <f t="shared" si="0"/>
        <v>23.690813333333335</v>
      </c>
      <c r="D55">
        <f t="shared" si="1"/>
        <v>90.482217500000004</v>
      </c>
    </row>
    <row r="56" spans="1:4" x14ac:dyDescent="0.3">
      <c r="A56" t="s">
        <v>124</v>
      </c>
      <c r="B56" t="s">
        <v>125</v>
      </c>
      <c r="C56">
        <f t="shared" si="0"/>
        <v>23.690972500000001</v>
      </c>
      <c r="D56">
        <f t="shared" si="1"/>
        <v>90.492016388888885</v>
      </c>
    </row>
    <row r="57" spans="1:4" x14ac:dyDescent="0.3">
      <c r="A57" t="s">
        <v>126</v>
      </c>
      <c r="B57" t="s">
        <v>127</v>
      </c>
      <c r="C57">
        <f t="shared" si="0"/>
        <v>23.691131111111112</v>
      </c>
      <c r="D57">
        <f t="shared" si="1"/>
        <v>90.501815555555552</v>
      </c>
    </row>
    <row r="58" spans="1:4" x14ac:dyDescent="0.3">
      <c r="A58" t="s">
        <v>128</v>
      </c>
      <c r="B58" t="s">
        <v>129</v>
      </c>
      <c r="C58">
        <f t="shared" si="0"/>
        <v>23.691288888888888</v>
      </c>
      <c r="D58">
        <f t="shared" si="1"/>
        <v>90.51161472222222</v>
      </c>
    </row>
    <row r="59" spans="1:4" x14ac:dyDescent="0.3">
      <c r="A59" t="s">
        <v>130</v>
      </c>
      <c r="B59" t="s">
        <v>131</v>
      </c>
      <c r="C59">
        <f t="shared" si="0"/>
        <v>23.697375000000001</v>
      </c>
      <c r="D59">
        <f t="shared" si="1"/>
        <v>90.33505944444444</v>
      </c>
    </row>
    <row r="60" spans="1:4" x14ac:dyDescent="0.3">
      <c r="A60" t="s">
        <v>132</v>
      </c>
      <c r="B60" t="s">
        <v>133</v>
      </c>
      <c r="C60">
        <f t="shared" si="0"/>
        <v>23.697543611111112</v>
      </c>
      <c r="D60">
        <f t="shared" si="1"/>
        <v>90.344857777777776</v>
      </c>
    </row>
    <row r="61" spans="1:4" x14ac:dyDescent="0.3">
      <c r="A61" t="s">
        <v>134</v>
      </c>
      <c r="B61" t="s">
        <v>135</v>
      </c>
      <c r="C61">
        <f t="shared" si="0"/>
        <v>23.697711388888891</v>
      </c>
      <c r="D61">
        <f t="shared" si="1"/>
        <v>90.354656388888884</v>
      </c>
    </row>
    <row r="62" spans="1:4" x14ac:dyDescent="0.3">
      <c r="A62" t="s">
        <v>136</v>
      </c>
      <c r="B62" t="s">
        <v>137</v>
      </c>
      <c r="C62">
        <f t="shared" si="0"/>
        <v>23.697878611111111</v>
      </c>
      <c r="D62">
        <f t="shared" si="1"/>
        <v>90.36445472222222</v>
      </c>
    </row>
    <row r="63" spans="1:4" x14ac:dyDescent="0.3">
      <c r="A63" t="s">
        <v>138</v>
      </c>
      <c r="B63" t="s">
        <v>139</v>
      </c>
      <c r="C63">
        <f t="shared" si="0"/>
        <v>23.698045277777776</v>
      </c>
      <c r="D63">
        <f t="shared" si="1"/>
        <v>90.374253333333328</v>
      </c>
    </row>
    <row r="64" spans="1:4" x14ac:dyDescent="0.3">
      <c r="A64" t="s">
        <v>140</v>
      </c>
      <c r="B64" t="s">
        <v>141</v>
      </c>
      <c r="C64">
        <f t="shared" si="0"/>
        <v>23.69821138888889</v>
      </c>
      <c r="D64">
        <f t="shared" si="1"/>
        <v>90.384052222222223</v>
      </c>
    </row>
    <row r="65" spans="1:4" x14ac:dyDescent="0.3">
      <c r="A65" t="s">
        <v>142</v>
      </c>
      <c r="B65" t="s">
        <v>143</v>
      </c>
      <c r="C65">
        <f t="shared" si="0"/>
        <v>23.698376666666668</v>
      </c>
      <c r="D65">
        <f t="shared" si="1"/>
        <v>90.393851111111118</v>
      </c>
    </row>
    <row r="66" spans="1:4" x14ac:dyDescent="0.3">
      <c r="A66" t="s">
        <v>144</v>
      </c>
      <c r="B66" t="s">
        <v>145</v>
      </c>
      <c r="C66">
        <f t="shared" si="0"/>
        <v>23.698541388888888</v>
      </c>
      <c r="D66">
        <f t="shared" si="1"/>
        <v>90.403649999999999</v>
      </c>
    </row>
    <row r="67" spans="1:4" x14ac:dyDescent="0.3">
      <c r="A67" t="s">
        <v>146</v>
      </c>
      <c r="B67" t="s">
        <v>147</v>
      </c>
      <c r="C67">
        <f t="shared" ref="C67:C130" si="2">DecimalDegreesConverter(A67,,,,TRUE)</f>
        <v>23.698705555555556</v>
      </c>
      <c r="D67">
        <f t="shared" ref="D67:D130" si="3">DecimalDegreesConverter(B67,,,,TRUE)</f>
        <v>90.413448888888894</v>
      </c>
    </row>
    <row r="68" spans="1:4" x14ac:dyDescent="0.3">
      <c r="A68" t="s">
        <v>148</v>
      </c>
      <c r="B68" t="s">
        <v>149</v>
      </c>
      <c r="C68">
        <f t="shared" si="2"/>
        <v>23.698869166666668</v>
      </c>
      <c r="D68">
        <f t="shared" si="3"/>
        <v>90.423248055555561</v>
      </c>
    </row>
    <row r="69" spans="1:4" x14ac:dyDescent="0.3">
      <c r="A69" t="s">
        <v>150</v>
      </c>
      <c r="B69" t="s">
        <v>151</v>
      </c>
      <c r="C69">
        <f t="shared" si="2"/>
        <v>23.699031944444446</v>
      </c>
      <c r="D69">
        <f t="shared" si="3"/>
        <v>90.433047222222228</v>
      </c>
    </row>
    <row r="70" spans="1:4" x14ac:dyDescent="0.3">
      <c r="A70" t="s">
        <v>152</v>
      </c>
      <c r="B70" t="s">
        <v>153</v>
      </c>
      <c r="C70">
        <f t="shared" si="2"/>
        <v>23.699194444444444</v>
      </c>
      <c r="D70">
        <f t="shared" si="3"/>
        <v>90.442846388888896</v>
      </c>
    </row>
    <row r="71" spans="1:4" x14ac:dyDescent="0.3">
      <c r="A71" t="s">
        <v>154</v>
      </c>
      <c r="B71" t="s">
        <v>155</v>
      </c>
      <c r="C71">
        <f t="shared" si="2"/>
        <v>23.699356111111111</v>
      </c>
      <c r="D71">
        <f t="shared" si="3"/>
        <v>90.452645555555563</v>
      </c>
    </row>
    <row r="72" spans="1:4" x14ac:dyDescent="0.3">
      <c r="A72" t="s">
        <v>156</v>
      </c>
      <c r="B72" t="s">
        <v>157</v>
      </c>
      <c r="C72">
        <f t="shared" si="2"/>
        <v>23.699516944444444</v>
      </c>
      <c r="D72">
        <f t="shared" si="3"/>
        <v>90.462445000000002</v>
      </c>
    </row>
    <row r="73" spans="1:4" x14ac:dyDescent="0.3">
      <c r="A73" t="s">
        <v>158</v>
      </c>
      <c r="B73" t="s">
        <v>159</v>
      </c>
      <c r="C73">
        <f t="shared" si="2"/>
        <v>23.6996775</v>
      </c>
      <c r="D73">
        <f t="shared" si="3"/>
        <v>90.472244722222229</v>
      </c>
    </row>
    <row r="74" spans="1:4" x14ac:dyDescent="0.3">
      <c r="A74" t="s">
        <v>160</v>
      </c>
      <c r="B74" t="s">
        <v>161</v>
      </c>
      <c r="C74">
        <f t="shared" si="2"/>
        <v>23.699837222222222</v>
      </c>
      <c r="D74">
        <f t="shared" si="3"/>
        <v>90.482044166666668</v>
      </c>
    </row>
    <row r="75" spans="1:4" x14ac:dyDescent="0.3">
      <c r="A75" t="s">
        <v>162</v>
      </c>
      <c r="B75" t="s">
        <v>163</v>
      </c>
      <c r="C75">
        <f t="shared" si="2"/>
        <v>23.699996388888888</v>
      </c>
      <c r="D75">
        <f t="shared" si="3"/>
        <v>90.491843888888894</v>
      </c>
    </row>
    <row r="76" spans="1:4" x14ac:dyDescent="0.3">
      <c r="A76" t="s">
        <v>164</v>
      </c>
      <c r="B76" t="s">
        <v>165</v>
      </c>
      <c r="C76">
        <f t="shared" si="2"/>
        <v>23.700154999999999</v>
      </c>
      <c r="D76">
        <f t="shared" si="3"/>
        <v>90.501643611111106</v>
      </c>
    </row>
    <row r="77" spans="1:4" x14ac:dyDescent="0.3">
      <c r="A77" t="s">
        <v>166</v>
      </c>
      <c r="B77" t="s">
        <v>167</v>
      </c>
      <c r="C77">
        <f t="shared" si="2"/>
        <v>23.700313055555554</v>
      </c>
      <c r="D77">
        <f t="shared" si="3"/>
        <v>90.511443611111105</v>
      </c>
    </row>
    <row r="78" spans="1:4" x14ac:dyDescent="0.3">
      <c r="A78" t="s">
        <v>168</v>
      </c>
      <c r="B78" t="s">
        <v>169</v>
      </c>
      <c r="C78">
        <f t="shared" si="2"/>
        <v>23.706397777777777</v>
      </c>
      <c r="D78">
        <f t="shared" si="3"/>
        <v>90.3348761111111</v>
      </c>
    </row>
    <row r="79" spans="1:4" x14ac:dyDescent="0.3">
      <c r="A79" t="s">
        <v>170</v>
      </c>
      <c r="B79" t="s">
        <v>171</v>
      </c>
      <c r="C79">
        <f t="shared" si="2"/>
        <v>23.706566388888888</v>
      </c>
      <c r="D79">
        <f t="shared" si="3"/>
        <v>90.344675277777768</v>
      </c>
    </row>
    <row r="80" spans="1:4" x14ac:dyDescent="0.3">
      <c r="A80" t="s">
        <v>172</v>
      </c>
      <c r="B80" t="s">
        <v>173</v>
      </c>
      <c r="C80">
        <f t="shared" si="2"/>
        <v>23.706734444444443</v>
      </c>
      <c r="D80">
        <f t="shared" si="3"/>
        <v>90.354474166666662</v>
      </c>
    </row>
    <row r="81" spans="1:4" x14ac:dyDescent="0.3">
      <c r="A81" t="s">
        <v>174</v>
      </c>
      <c r="B81" t="s">
        <v>175</v>
      </c>
      <c r="C81">
        <f t="shared" si="2"/>
        <v>23.706901666666667</v>
      </c>
      <c r="D81">
        <f t="shared" si="3"/>
        <v>90.364273611111102</v>
      </c>
    </row>
    <row r="82" spans="1:4" x14ac:dyDescent="0.3">
      <c r="A82" t="s">
        <v>176</v>
      </c>
      <c r="B82" t="s">
        <v>177</v>
      </c>
      <c r="C82">
        <f t="shared" si="2"/>
        <v>23.707068333333332</v>
      </c>
      <c r="D82">
        <f t="shared" si="3"/>
        <v>90.374072777777769</v>
      </c>
    </row>
    <row r="83" spans="1:4" x14ac:dyDescent="0.3">
      <c r="A83" t="s">
        <v>178</v>
      </c>
      <c r="B83" t="s">
        <v>179</v>
      </c>
      <c r="C83">
        <f t="shared" si="2"/>
        <v>23.707234444444445</v>
      </c>
      <c r="D83">
        <f t="shared" si="3"/>
        <v>90.383872222222223</v>
      </c>
    </row>
    <row r="84" spans="1:4" x14ac:dyDescent="0.3">
      <c r="A84" t="s">
        <v>180</v>
      </c>
      <c r="B84" t="s">
        <v>181</v>
      </c>
      <c r="C84">
        <f t="shared" si="2"/>
        <v>23.7074</v>
      </c>
      <c r="D84">
        <f t="shared" si="3"/>
        <v>90.393671666666677</v>
      </c>
    </row>
    <row r="85" spans="1:4" x14ac:dyDescent="0.3">
      <c r="A85" t="s">
        <v>182</v>
      </c>
      <c r="B85" t="s">
        <v>183</v>
      </c>
      <c r="C85">
        <f t="shared" si="2"/>
        <v>23.707564722222223</v>
      </c>
      <c r="D85">
        <f t="shared" si="3"/>
        <v>90.403471111111116</v>
      </c>
    </row>
    <row r="86" spans="1:4" x14ac:dyDescent="0.3">
      <c r="A86" t="s">
        <v>184</v>
      </c>
      <c r="B86" t="s">
        <v>185</v>
      </c>
      <c r="C86">
        <f t="shared" si="2"/>
        <v>23.707728888888887</v>
      </c>
      <c r="D86">
        <f t="shared" si="3"/>
        <v>90.413270833333343</v>
      </c>
    </row>
    <row r="87" spans="1:4" x14ac:dyDescent="0.3">
      <c r="A87" t="s">
        <v>186</v>
      </c>
      <c r="B87" t="s">
        <v>187</v>
      </c>
      <c r="C87">
        <f t="shared" si="2"/>
        <v>23.7078925</v>
      </c>
      <c r="D87">
        <f t="shared" si="3"/>
        <v>90.423070555555555</v>
      </c>
    </row>
    <row r="88" spans="1:4" x14ac:dyDescent="0.3">
      <c r="A88" t="s">
        <v>188</v>
      </c>
      <c r="B88" t="s">
        <v>189</v>
      </c>
      <c r="C88">
        <f t="shared" si="2"/>
        <v>23.708055555555553</v>
      </c>
      <c r="D88">
        <f t="shared" si="3"/>
        <v>90.432870555555567</v>
      </c>
    </row>
    <row r="89" spans="1:4" x14ac:dyDescent="0.3">
      <c r="A89" t="s">
        <v>190</v>
      </c>
      <c r="B89" t="s">
        <v>191</v>
      </c>
      <c r="C89">
        <f t="shared" si="2"/>
        <v>23.708218055555555</v>
      </c>
      <c r="D89">
        <f t="shared" si="3"/>
        <v>90.442670277777779</v>
      </c>
    </row>
    <row r="90" spans="1:4" x14ac:dyDescent="0.3">
      <c r="A90" t="s">
        <v>192</v>
      </c>
      <c r="B90" t="s">
        <v>193</v>
      </c>
      <c r="C90">
        <f t="shared" si="2"/>
        <v>23.708379722222222</v>
      </c>
      <c r="D90">
        <f t="shared" si="3"/>
        <v>90.452470277777778</v>
      </c>
    </row>
    <row r="91" spans="1:4" x14ac:dyDescent="0.3">
      <c r="A91" t="s">
        <v>194</v>
      </c>
      <c r="B91" t="s">
        <v>195</v>
      </c>
      <c r="C91">
        <f t="shared" si="2"/>
        <v>23.708540833333334</v>
      </c>
      <c r="D91">
        <f t="shared" si="3"/>
        <v>90.462270555555563</v>
      </c>
    </row>
    <row r="92" spans="1:4" x14ac:dyDescent="0.3">
      <c r="A92" t="s">
        <v>196</v>
      </c>
      <c r="B92" t="s">
        <v>197</v>
      </c>
      <c r="C92">
        <f t="shared" si="2"/>
        <v>23.708701388888887</v>
      </c>
      <c r="D92">
        <f t="shared" si="3"/>
        <v>90.472070555555561</v>
      </c>
    </row>
    <row r="93" spans="1:4" x14ac:dyDescent="0.3">
      <c r="A93" t="s">
        <v>198</v>
      </c>
      <c r="B93" t="s">
        <v>199</v>
      </c>
      <c r="C93">
        <f t="shared" si="2"/>
        <v>23.708861111111112</v>
      </c>
      <c r="D93">
        <f t="shared" si="3"/>
        <v>90.481870833333332</v>
      </c>
    </row>
    <row r="94" spans="1:4" x14ac:dyDescent="0.3">
      <c r="A94" t="s">
        <v>200</v>
      </c>
      <c r="B94" t="s">
        <v>201</v>
      </c>
      <c r="C94">
        <f t="shared" si="2"/>
        <v>23.709020555555554</v>
      </c>
      <c r="D94">
        <f t="shared" si="3"/>
        <v>90.491671388888889</v>
      </c>
    </row>
    <row r="95" spans="1:4" x14ac:dyDescent="0.3">
      <c r="A95" t="s">
        <v>202</v>
      </c>
      <c r="B95" t="s">
        <v>203</v>
      </c>
      <c r="C95">
        <f t="shared" si="2"/>
        <v>23.709179166666665</v>
      </c>
      <c r="D95">
        <f t="shared" si="3"/>
        <v>90.50147166666666</v>
      </c>
    </row>
    <row r="96" spans="1:4" x14ac:dyDescent="0.3">
      <c r="A96" t="s">
        <v>204</v>
      </c>
      <c r="B96" t="s">
        <v>205</v>
      </c>
      <c r="C96">
        <f t="shared" si="2"/>
        <v>23.709337222222221</v>
      </c>
      <c r="D96">
        <f t="shared" si="3"/>
        <v>90.511272222222217</v>
      </c>
    </row>
    <row r="97" spans="1:4" x14ac:dyDescent="0.3">
      <c r="A97" t="s">
        <v>206</v>
      </c>
      <c r="B97" t="s">
        <v>207</v>
      </c>
      <c r="C97">
        <f t="shared" si="2"/>
        <v>23.715420833333333</v>
      </c>
      <c r="D97">
        <f t="shared" si="3"/>
        <v>90.334692777777775</v>
      </c>
    </row>
    <row r="98" spans="1:4" x14ac:dyDescent="0.3">
      <c r="A98" t="s">
        <v>208</v>
      </c>
      <c r="B98" t="s">
        <v>209</v>
      </c>
      <c r="C98">
        <f t="shared" si="2"/>
        <v>23.715589444444444</v>
      </c>
      <c r="D98">
        <f t="shared" si="3"/>
        <v>90.344492500000001</v>
      </c>
    </row>
    <row r="99" spans="1:4" x14ac:dyDescent="0.3">
      <c r="A99" t="s">
        <v>210</v>
      </c>
      <c r="B99" t="s">
        <v>211</v>
      </c>
      <c r="C99">
        <f t="shared" si="2"/>
        <v>23.715757222222223</v>
      </c>
      <c r="D99">
        <f t="shared" si="3"/>
        <v>90.354292222222213</v>
      </c>
    </row>
    <row r="100" spans="1:4" x14ac:dyDescent="0.3">
      <c r="A100" t="s">
        <v>212</v>
      </c>
      <c r="B100" t="s">
        <v>213</v>
      </c>
      <c r="C100">
        <f t="shared" si="2"/>
        <v>23.715924722222223</v>
      </c>
      <c r="D100">
        <f t="shared" si="3"/>
        <v>90.364092222222212</v>
      </c>
    </row>
    <row r="101" spans="1:4" x14ac:dyDescent="0.3">
      <c r="A101" t="s">
        <v>214</v>
      </c>
      <c r="B101" t="s">
        <v>215</v>
      </c>
      <c r="C101">
        <f t="shared" si="2"/>
        <v>23.716091388888888</v>
      </c>
      <c r="D101">
        <f t="shared" si="3"/>
        <v>90.373891944444438</v>
      </c>
    </row>
    <row r="102" spans="1:4" x14ac:dyDescent="0.3">
      <c r="A102" t="s">
        <v>216</v>
      </c>
      <c r="B102" t="s">
        <v>217</v>
      </c>
      <c r="C102">
        <f t="shared" si="2"/>
        <v>23.716257777777777</v>
      </c>
      <c r="D102">
        <f t="shared" si="3"/>
        <v>90.383692222222223</v>
      </c>
    </row>
    <row r="103" spans="1:4" x14ac:dyDescent="0.3">
      <c r="A103" t="s">
        <v>218</v>
      </c>
      <c r="B103" t="s">
        <v>219</v>
      </c>
      <c r="C103">
        <f t="shared" si="2"/>
        <v>23.716423055555556</v>
      </c>
      <c r="D103">
        <f t="shared" si="3"/>
        <v>90.393492222222235</v>
      </c>
    </row>
    <row r="104" spans="1:4" x14ac:dyDescent="0.3">
      <c r="A104" t="s">
        <v>220</v>
      </c>
      <c r="B104" t="s">
        <v>221</v>
      </c>
      <c r="C104">
        <f t="shared" si="2"/>
        <v>23.716588055555555</v>
      </c>
      <c r="D104">
        <f t="shared" si="3"/>
        <v>90.403292500000006</v>
      </c>
    </row>
    <row r="105" spans="1:4" x14ac:dyDescent="0.3">
      <c r="A105" t="s">
        <v>222</v>
      </c>
      <c r="B105" t="s">
        <v>223</v>
      </c>
      <c r="C105">
        <f t="shared" si="2"/>
        <v>23.716752499999998</v>
      </c>
      <c r="D105">
        <f t="shared" si="3"/>
        <v>90.413092777777777</v>
      </c>
    </row>
    <row r="106" spans="1:4" x14ac:dyDescent="0.3">
      <c r="A106" t="s">
        <v>224</v>
      </c>
      <c r="B106" t="s">
        <v>225</v>
      </c>
      <c r="C106">
        <f t="shared" si="2"/>
        <v>23.716916111111111</v>
      </c>
      <c r="D106">
        <f t="shared" si="3"/>
        <v>90.422893333333334</v>
      </c>
    </row>
    <row r="107" spans="1:4" x14ac:dyDescent="0.3">
      <c r="A107" t="s">
        <v>226</v>
      </c>
      <c r="B107" t="s">
        <v>227</v>
      </c>
      <c r="C107">
        <f t="shared" si="2"/>
        <v>23.717079166666664</v>
      </c>
      <c r="D107">
        <f t="shared" si="3"/>
        <v>90.432693888888892</v>
      </c>
    </row>
    <row r="108" spans="1:4" x14ac:dyDescent="0.3">
      <c r="A108" t="s">
        <v>228</v>
      </c>
      <c r="B108" t="s">
        <v>229</v>
      </c>
      <c r="C108">
        <f t="shared" si="2"/>
        <v>23.717241388888887</v>
      </c>
      <c r="D108">
        <f t="shared" si="3"/>
        <v>90.442494444444449</v>
      </c>
    </row>
    <row r="109" spans="1:4" x14ac:dyDescent="0.3">
      <c r="A109" t="s">
        <v>230</v>
      </c>
      <c r="B109" t="s">
        <v>231</v>
      </c>
      <c r="C109">
        <f t="shared" si="2"/>
        <v>23.717403333333333</v>
      </c>
      <c r="D109">
        <f t="shared" si="3"/>
        <v>90.452295000000007</v>
      </c>
    </row>
    <row r="110" spans="1:4" x14ac:dyDescent="0.3">
      <c r="A110" t="s">
        <v>232</v>
      </c>
      <c r="B110" t="s">
        <v>233</v>
      </c>
      <c r="C110">
        <f t="shared" si="2"/>
        <v>23.717564444444442</v>
      </c>
      <c r="D110">
        <f t="shared" si="3"/>
        <v>90.462095833333336</v>
      </c>
    </row>
    <row r="111" spans="1:4" x14ac:dyDescent="0.3">
      <c r="A111" t="s">
        <v>234</v>
      </c>
      <c r="B111" t="s">
        <v>235</v>
      </c>
      <c r="C111">
        <f t="shared" si="2"/>
        <v>23.717724999999998</v>
      </c>
      <c r="D111">
        <f t="shared" si="3"/>
        <v>90.471896666666666</v>
      </c>
    </row>
    <row r="112" spans="1:4" x14ac:dyDescent="0.3">
      <c r="A112" t="s">
        <v>236</v>
      </c>
      <c r="B112" t="s">
        <v>237</v>
      </c>
      <c r="C112">
        <f t="shared" si="2"/>
        <v>23.717884999999999</v>
      </c>
      <c r="D112">
        <f t="shared" si="3"/>
        <v>90.481697499999996</v>
      </c>
    </row>
    <row r="113" spans="1:4" x14ac:dyDescent="0.3">
      <c r="A113" t="s">
        <v>238</v>
      </c>
      <c r="B113" t="s">
        <v>239</v>
      </c>
      <c r="C113">
        <f t="shared" si="2"/>
        <v>23.718044444444441</v>
      </c>
      <c r="D113">
        <f t="shared" si="3"/>
        <v>90.491498611111112</v>
      </c>
    </row>
    <row r="114" spans="1:4" x14ac:dyDescent="0.3">
      <c r="A114" t="s">
        <v>240</v>
      </c>
      <c r="B114" t="s">
        <v>241</v>
      </c>
      <c r="C114">
        <f t="shared" si="2"/>
        <v>23.718203055555556</v>
      </c>
      <c r="D114">
        <f t="shared" si="3"/>
        <v>90.501299722222228</v>
      </c>
    </row>
    <row r="115" spans="1:4" x14ac:dyDescent="0.3">
      <c r="A115" t="s">
        <v>242</v>
      </c>
      <c r="B115" t="s">
        <v>243</v>
      </c>
      <c r="C115">
        <f t="shared" si="2"/>
        <v>23.718361111111111</v>
      </c>
      <c r="D115">
        <f t="shared" si="3"/>
        <v>90.51110083333333</v>
      </c>
    </row>
    <row r="116" spans="1:4" x14ac:dyDescent="0.3">
      <c r="A116" t="s">
        <v>244</v>
      </c>
      <c r="B116" t="s">
        <v>245</v>
      </c>
      <c r="C116">
        <f t="shared" si="2"/>
        <v>23.724443611111109</v>
      </c>
      <c r="D116">
        <f t="shared" si="3"/>
        <v>90.334509166666663</v>
      </c>
    </row>
    <row r="117" spans="1:4" x14ac:dyDescent="0.3">
      <c r="A117" t="s">
        <v>246</v>
      </c>
      <c r="B117" t="s">
        <v>247</v>
      </c>
      <c r="C117">
        <f t="shared" si="2"/>
        <v>23.72461222222222</v>
      </c>
      <c r="D117">
        <f t="shared" si="3"/>
        <v>90.344309444444434</v>
      </c>
    </row>
    <row r="118" spans="1:4" x14ac:dyDescent="0.3">
      <c r="A118" t="s">
        <v>248</v>
      </c>
      <c r="B118" t="s">
        <v>249</v>
      </c>
      <c r="C118">
        <f t="shared" si="2"/>
        <v>23.724780277777775</v>
      </c>
      <c r="D118">
        <f t="shared" si="3"/>
        <v>90.354109999999991</v>
      </c>
    </row>
    <row r="119" spans="1:4" x14ac:dyDescent="0.3">
      <c r="A119" t="s">
        <v>250</v>
      </c>
      <c r="B119" t="s">
        <v>251</v>
      </c>
      <c r="C119">
        <f t="shared" si="2"/>
        <v>23.724947777777775</v>
      </c>
      <c r="D119">
        <f t="shared" si="3"/>
        <v>90.363910555555549</v>
      </c>
    </row>
    <row r="120" spans="1:4" x14ac:dyDescent="0.3">
      <c r="A120" t="s">
        <v>252</v>
      </c>
      <c r="B120" t="s">
        <v>253</v>
      </c>
      <c r="C120">
        <f t="shared" si="2"/>
        <v>23.725114722222219</v>
      </c>
      <c r="D120">
        <f t="shared" si="3"/>
        <v>90.373711111111106</v>
      </c>
    </row>
    <row r="121" spans="1:4" x14ac:dyDescent="0.3">
      <c r="A121" t="s">
        <v>254</v>
      </c>
      <c r="B121" t="s">
        <v>255</v>
      </c>
      <c r="C121">
        <f t="shared" si="2"/>
        <v>23.725280833333333</v>
      </c>
      <c r="D121">
        <f t="shared" si="3"/>
        <v>90.38351194444445</v>
      </c>
    </row>
    <row r="122" spans="1:4" x14ac:dyDescent="0.3">
      <c r="A122" t="s">
        <v>256</v>
      </c>
      <c r="B122" t="s">
        <v>257</v>
      </c>
      <c r="C122">
        <f t="shared" si="2"/>
        <v>23.725446388888887</v>
      </c>
      <c r="D122">
        <f t="shared" si="3"/>
        <v>90.39331277777778</v>
      </c>
    </row>
    <row r="123" spans="1:4" x14ac:dyDescent="0.3">
      <c r="A123" t="s">
        <v>258</v>
      </c>
      <c r="B123" t="s">
        <v>259</v>
      </c>
      <c r="C123">
        <f t="shared" si="2"/>
        <v>23.725611388888886</v>
      </c>
      <c r="D123">
        <f t="shared" si="3"/>
        <v>90.403113611111124</v>
      </c>
    </row>
    <row r="124" spans="1:4" x14ac:dyDescent="0.3">
      <c r="A124" t="s">
        <v>260</v>
      </c>
      <c r="B124" t="s">
        <v>261</v>
      </c>
      <c r="C124">
        <f t="shared" si="2"/>
        <v>23.72577583333333</v>
      </c>
      <c r="D124">
        <f t="shared" si="3"/>
        <v>90.412914722222226</v>
      </c>
    </row>
    <row r="125" spans="1:4" x14ac:dyDescent="0.3">
      <c r="A125" t="s">
        <v>262</v>
      </c>
      <c r="B125" t="s">
        <v>263</v>
      </c>
      <c r="C125">
        <f t="shared" si="2"/>
        <v>23.725939444444442</v>
      </c>
      <c r="D125">
        <f t="shared" si="3"/>
        <v>90.422715833333342</v>
      </c>
    </row>
    <row r="126" spans="1:4" x14ac:dyDescent="0.3">
      <c r="A126" t="s">
        <v>264</v>
      </c>
      <c r="B126" t="s">
        <v>265</v>
      </c>
      <c r="C126">
        <f t="shared" si="2"/>
        <v>23.7261025</v>
      </c>
      <c r="D126">
        <f t="shared" si="3"/>
        <v>90.432516944444444</v>
      </c>
    </row>
    <row r="127" spans="1:4" x14ac:dyDescent="0.3">
      <c r="A127" t="s">
        <v>266</v>
      </c>
      <c r="B127" t="s">
        <v>267</v>
      </c>
      <c r="C127">
        <f t="shared" si="2"/>
        <v>23.726264999999998</v>
      </c>
      <c r="D127">
        <f t="shared" si="3"/>
        <v>90.442318333333333</v>
      </c>
    </row>
    <row r="128" spans="1:4" x14ac:dyDescent="0.3">
      <c r="A128" t="s">
        <v>268</v>
      </c>
      <c r="B128" t="s">
        <v>269</v>
      </c>
      <c r="C128">
        <f t="shared" si="2"/>
        <v>23.726426944444444</v>
      </c>
      <c r="D128">
        <f t="shared" si="3"/>
        <v>90.452119722222221</v>
      </c>
    </row>
    <row r="129" spans="1:4" x14ac:dyDescent="0.3">
      <c r="A129" t="s">
        <v>270</v>
      </c>
      <c r="B129" t="s">
        <v>271</v>
      </c>
      <c r="C129">
        <f t="shared" si="2"/>
        <v>23.726588333333332</v>
      </c>
      <c r="D129">
        <f t="shared" si="3"/>
        <v>90.46192111111111</v>
      </c>
    </row>
    <row r="130" spans="1:4" x14ac:dyDescent="0.3">
      <c r="A130" t="s">
        <v>272</v>
      </c>
      <c r="B130" t="s">
        <v>273</v>
      </c>
      <c r="C130">
        <f t="shared" si="2"/>
        <v>23.726748888888888</v>
      </c>
      <c r="D130">
        <f t="shared" si="3"/>
        <v>90.471722499999998</v>
      </c>
    </row>
    <row r="131" spans="1:4" x14ac:dyDescent="0.3">
      <c r="A131" t="s">
        <v>274</v>
      </c>
      <c r="B131" t="s">
        <v>275</v>
      </c>
      <c r="C131">
        <f t="shared" ref="C131:C194" si="4">DecimalDegreesConverter(A131,,,,TRUE)</f>
        <v>23.726908888888886</v>
      </c>
      <c r="D131">
        <f t="shared" ref="D131:D194" si="5">DecimalDegreesConverter(B131,,,,TRUE)</f>
        <v>90.481524166666674</v>
      </c>
    </row>
    <row r="132" spans="1:4" x14ac:dyDescent="0.3">
      <c r="A132" t="s">
        <v>276</v>
      </c>
      <c r="B132" t="s">
        <v>277</v>
      </c>
      <c r="C132">
        <f t="shared" si="4"/>
        <v>23.727068333333332</v>
      </c>
      <c r="D132">
        <f t="shared" si="5"/>
        <v>90.491325833333335</v>
      </c>
    </row>
    <row r="133" spans="1:4" x14ac:dyDescent="0.3">
      <c r="A133" t="s">
        <v>278</v>
      </c>
      <c r="B133" t="s">
        <v>279</v>
      </c>
      <c r="C133">
        <f t="shared" si="4"/>
        <v>23.727226944444443</v>
      </c>
      <c r="D133">
        <f t="shared" si="5"/>
        <v>90.501127777777782</v>
      </c>
    </row>
    <row r="134" spans="1:4" x14ac:dyDescent="0.3">
      <c r="A134" t="s">
        <v>280</v>
      </c>
      <c r="B134" t="s">
        <v>281</v>
      </c>
      <c r="C134">
        <f t="shared" si="4"/>
        <v>23.727385277777778</v>
      </c>
      <c r="D134">
        <f t="shared" si="5"/>
        <v>90.510929444444443</v>
      </c>
    </row>
    <row r="135" spans="1:4" x14ac:dyDescent="0.3">
      <c r="A135" t="s">
        <v>282</v>
      </c>
      <c r="B135" t="s">
        <v>283</v>
      </c>
      <c r="C135">
        <f t="shared" si="4"/>
        <v>23.733466388888889</v>
      </c>
      <c r="D135">
        <f t="shared" si="5"/>
        <v>90.334325555555552</v>
      </c>
    </row>
    <row r="136" spans="1:4" x14ac:dyDescent="0.3">
      <c r="A136" t="s">
        <v>284</v>
      </c>
      <c r="B136" t="s">
        <v>285</v>
      </c>
      <c r="C136">
        <f t="shared" si="4"/>
        <v>23.733635</v>
      </c>
      <c r="D136">
        <f t="shared" si="5"/>
        <v>90.344126666666668</v>
      </c>
    </row>
    <row r="137" spans="1:4" x14ac:dyDescent="0.3">
      <c r="A137" t="s">
        <v>286</v>
      </c>
      <c r="B137" t="s">
        <v>287</v>
      </c>
      <c r="C137">
        <f t="shared" si="4"/>
        <v>23.733803333333334</v>
      </c>
      <c r="D137">
        <f t="shared" si="5"/>
        <v>90.35392777777777</v>
      </c>
    </row>
    <row r="138" spans="1:4" x14ac:dyDescent="0.3">
      <c r="A138" t="s">
        <v>288</v>
      </c>
      <c r="B138" t="s">
        <v>289</v>
      </c>
      <c r="C138">
        <f t="shared" si="4"/>
        <v>23.733970833333334</v>
      </c>
      <c r="D138">
        <f t="shared" si="5"/>
        <v>90.363728888888886</v>
      </c>
    </row>
    <row r="139" spans="1:4" x14ac:dyDescent="0.3">
      <c r="A139" t="s">
        <v>290</v>
      </c>
      <c r="B139" t="s">
        <v>291</v>
      </c>
      <c r="C139">
        <f t="shared" si="4"/>
        <v>23.734137777777779</v>
      </c>
      <c r="D139">
        <f t="shared" si="5"/>
        <v>90.373530277777775</v>
      </c>
    </row>
    <row r="140" spans="1:4" x14ac:dyDescent="0.3">
      <c r="A140" t="s">
        <v>292</v>
      </c>
      <c r="B140" t="s">
        <v>293</v>
      </c>
      <c r="C140">
        <f t="shared" si="4"/>
        <v>23.734303888888888</v>
      </c>
      <c r="D140">
        <f t="shared" si="5"/>
        <v>90.38333333333334</v>
      </c>
    </row>
    <row r="141" spans="1:4" x14ac:dyDescent="0.3">
      <c r="A141" t="s">
        <v>294</v>
      </c>
      <c r="B141" t="s">
        <v>295</v>
      </c>
      <c r="C141">
        <f t="shared" si="4"/>
        <v>23.734469722222222</v>
      </c>
      <c r="D141">
        <f t="shared" si="5"/>
        <v>90.393133333333338</v>
      </c>
    </row>
    <row r="142" spans="1:4" x14ac:dyDescent="0.3">
      <c r="A142" t="s">
        <v>296</v>
      </c>
      <c r="B142" t="s">
        <v>297</v>
      </c>
      <c r="C142">
        <f t="shared" si="4"/>
        <v>23.734634722222225</v>
      </c>
      <c r="D142">
        <f t="shared" si="5"/>
        <v>90.402934722222227</v>
      </c>
    </row>
    <row r="143" spans="1:4" x14ac:dyDescent="0.3">
      <c r="A143" t="s">
        <v>298</v>
      </c>
      <c r="B143" t="s">
        <v>299</v>
      </c>
      <c r="C143">
        <f t="shared" si="4"/>
        <v>23.734799166666669</v>
      </c>
      <c r="D143">
        <f t="shared" si="5"/>
        <v>90.412736388888888</v>
      </c>
    </row>
    <row r="144" spans="1:4" x14ac:dyDescent="0.3">
      <c r="A144" t="s">
        <v>300</v>
      </c>
      <c r="B144" t="s">
        <v>301</v>
      </c>
      <c r="C144">
        <f t="shared" si="4"/>
        <v>23.734962777777778</v>
      </c>
      <c r="D144">
        <f t="shared" si="5"/>
        <v>90.422538333333335</v>
      </c>
    </row>
    <row r="145" spans="1:4" x14ac:dyDescent="0.3">
      <c r="A145" t="s">
        <v>302</v>
      </c>
      <c r="B145" t="s">
        <v>303</v>
      </c>
      <c r="C145">
        <f t="shared" si="4"/>
        <v>23.735126111111111</v>
      </c>
      <c r="D145">
        <f t="shared" si="5"/>
        <v>90.432340000000011</v>
      </c>
    </row>
    <row r="146" spans="1:4" x14ac:dyDescent="0.3">
      <c r="A146" t="s">
        <v>304</v>
      </c>
      <c r="B146" t="s">
        <v>305</v>
      </c>
      <c r="C146">
        <f t="shared" si="4"/>
        <v>23.735288611111113</v>
      </c>
      <c r="D146">
        <f t="shared" si="5"/>
        <v>90.442141944444444</v>
      </c>
    </row>
    <row r="147" spans="1:4" x14ac:dyDescent="0.3">
      <c r="A147" t="s">
        <v>306</v>
      </c>
      <c r="B147" t="s">
        <v>307</v>
      </c>
      <c r="C147">
        <f t="shared" si="4"/>
        <v>23.735450555555555</v>
      </c>
      <c r="D147">
        <f t="shared" si="5"/>
        <v>90.451944166666664</v>
      </c>
    </row>
    <row r="148" spans="1:4" x14ac:dyDescent="0.3">
      <c r="A148" t="s">
        <v>308</v>
      </c>
      <c r="B148" t="s">
        <v>309</v>
      </c>
      <c r="C148">
        <f t="shared" si="4"/>
        <v>23.735611944444447</v>
      </c>
      <c r="D148">
        <f t="shared" si="5"/>
        <v>90.461746111111111</v>
      </c>
    </row>
    <row r="149" spans="1:4" x14ac:dyDescent="0.3">
      <c r="A149" t="s">
        <v>310</v>
      </c>
      <c r="B149" t="s">
        <v>311</v>
      </c>
      <c r="C149">
        <f t="shared" si="4"/>
        <v>23.735772499999999</v>
      </c>
      <c r="D149">
        <f t="shared" si="5"/>
        <v>90.471548333333331</v>
      </c>
    </row>
    <row r="150" spans="1:4" x14ac:dyDescent="0.3">
      <c r="A150" t="s">
        <v>312</v>
      </c>
      <c r="B150" t="s">
        <v>313</v>
      </c>
      <c r="C150">
        <f t="shared" si="4"/>
        <v>23.73593277777778</v>
      </c>
      <c r="D150">
        <f t="shared" si="5"/>
        <v>90.481350555555551</v>
      </c>
    </row>
    <row r="151" spans="1:4" x14ac:dyDescent="0.3">
      <c r="A151" t="s">
        <v>314</v>
      </c>
      <c r="B151" t="s">
        <v>315</v>
      </c>
      <c r="C151">
        <f t="shared" si="4"/>
        <v>23.736092222222222</v>
      </c>
      <c r="D151">
        <f t="shared" si="5"/>
        <v>90.491153055555557</v>
      </c>
    </row>
    <row r="152" spans="1:4" x14ac:dyDescent="0.3">
      <c r="A152" t="s">
        <v>316</v>
      </c>
      <c r="B152" t="s">
        <v>317</v>
      </c>
      <c r="C152">
        <f t="shared" si="4"/>
        <v>23.736251111111113</v>
      </c>
      <c r="D152">
        <f t="shared" si="5"/>
        <v>90.500955555555549</v>
      </c>
    </row>
    <row r="153" spans="1:4" x14ac:dyDescent="0.3">
      <c r="A153" t="s">
        <v>318</v>
      </c>
      <c r="B153" t="s">
        <v>319</v>
      </c>
      <c r="C153">
        <f t="shared" si="4"/>
        <v>23.736409166666668</v>
      </c>
      <c r="D153">
        <f t="shared" si="5"/>
        <v>90.510758055555556</v>
      </c>
    </row>
    <row r="154" spans="1:4" x14ac:dyDescent="0.3">
      <c r="A154" t="s">
        <v>320</v>
      </c>
      <c r="B154" t="s">
        <v>321</v>
      </c>
      <c r="C154">
        <f t="shared" si="4"/>
        <v>23.742489166666669</v>
      </c>
      <c r="D154">
        <f t="shared" si="5"/>
        <v>90.33414194444444</v>
      </c>
    </row>
    <row r="155" spans="1:4" x14ac:dyDescent="0.3">
      <c r="A155" t="s">
        <v>322</v>
      </c>
      <c r="B155" t="s">
        <v>323</v>
      </c>
      <c r="C155">
        <f t="shared" si="4"/>
        <v>23.742658055555555</v>
      </c>
      <c r="D155">
        <f t="shared" si="5"/>
        <v>90.343943611111101</v>
      </c>
    </row>
    <row r="156" spans="1:4" x14ac:dyDescent="0.3">
      <c r="A156" t="s">
        <v>324</v>
      </c>
      <c r="B156" t="s">
        <v>325</v>
      </c>
      <c r="C156">
        <f t="shared" si="4"/>
        <v>23.742826111111111</v>
      </c>
      <c r="D156">
        <f t="shared" si="5"/>
        <v>90.353745277777776</v>
      </c>
    </row>
    <row r="157" spans="1:4" x14ac:dyDescent="0.3">
      <c r="A157" t="s">
        <v>326</v>
      </c>
      <c r="B157" t="s">
        <v>327</v>
      </c>
      <c r="C157">
        <f t="shared" si="4"/>
        <v>23.74299361111111</v>
      </c>
      <c r="D157">
        <f t="shared" si="5"/>
        <v>90.363547222222223</v>
      </c>
    </row>
    <row r="158" spans="1:4" x14ac:dyDescent="0.3">
      <c r="A158" t="s">
        <v>328</v>
      </c>
      <c r="B158" t="s">
        <v>329</v>
      </c>
      <c r="C158">
        <f t="shared" si="4"/>
        <v>23.743160833333334</v>
      </c>
      <c r="D158">
        <f t="shared" si="5"/>
        <v>90.373349166666657</v>
      </c>
    </row>
    <row r="159" spans="1:4" x14ac:dyDescent="0.3">
      <c r="A159" t="s">
        <v>330</v>
      </c>
      <c r="B159" t="s">
        <v>331</v>
      </c>
      <c r="C159">
        <f t="shared" si="4"/>
        <v>23.743326944444444</v>
      </c>
      <c r="D159">
        <f t="shared" si="5"/>
        <v>90.383151388888876</v>
      </c>
    </row>
    <row r="160" spans="1:4" x14ac:dyDescent="0.3">
      <c r="A160" t="s">
        <v>332</v>
      </c>
      <c r="B160" t="s">
        <v>333</v>
      </c>
      <c r="C160">
        <f t="shared" si="4"/>
        <v>23.743492777777778</v>
      </c>
      <c r="D160">
        <f t="shared" si="5"/>
        <v>90.392953611111125</v>
      </c>
    </row>
    <row r="161" spans="1:4" x14ac:dyDescent="0.3">
      <c r="A161" t="s">
        <v>334</v>
      </c>
      <c r="B161" t="s">
        <v>335</v>
      </c>
      <c r="C161">
        <f t="shared" si="4"/>
        <v>23.743658055555557</v>
      </c>
      <c r="D161">
        <f t="shared" si="5"/>
        <v>90.402755833333345</v>
      </c>
    </row>
    <row r="162" spans="1:4" x14ac:dyDescent="0.3">
      <c r="A162" t="s">
        <v>336</v>
      </c>
      <c r="B162" t="s">
        <v>337</v>
      </c>
      <c r="C162">
        <f t="shared" si="4"/>
        <v>23.7438225</v>
      </c>
      <c r="D162">
        <f t="shared" si="5"/>
        <v>90.412558055555564</v>
      </c>
    </row>
    <row r="163" spans="1:4" x14ac:dyDescent="0.3">
      <c r="A163" t="s">
        <v>338</v>
      </c>
      <c r="B163" t="s">
        <v>339</v>
      </c>
      <c r="C163">
        <f t="shared" si="4"/>
        <v>23.743986388888889</v>
      </c>
      <c r="D163">
        <f t="shared" si="5"/>
        <v>90.422360555555557</v>
      </c>
    </row>
    <row r="164" spans="1:4" x14ac:dyDescent="0.3">
      <c r="A164" t="s">
        <v>340</v>
      </c>
      <c r="B164" t="s">
        <v>341</v>
      </c>
      <c r="C164">
        <f t="shared" si="4"/>
        <v>23.744149444444446</v>
      </c>
      <c r="D164">
        <f t="shared" si="5"/>
        <v>90.432163055555563</v>
      </c>
    </row>
    <row r="165" spans="1:4" x14ac:dyDescent="0.3">
      <c r="A165" t="s">
        <v>342</v>
      </c>
      <c r="B165" t="s">
        <v>343</v>
      </c>
      <c r="C165">
        <f t="shared" si="4"/>
        <v>23.744312222222224</v>
      </c>
      <c r="D165">
        <f t="shared" si="5"/>
        <v>90.441965833333342</v>
      </c>
    </row>
    <row r="166" spans="1:4" x14ac:dyDescent="0.3">
      <c r="A166" t="s">
        <v>344</v>
      </c>
      <c r="B166" t="s">
        <v>345</v>
      </c>
      <c r="C166">
        <f t="shared" si="4"/>
        <v>23.744474166666667</v>
      </c>
      <c r="D166">
        <f t="shared" si="5"/>
        <v>90.451768333333334</v>
      </c>
    </row>
    <row r="167" spans="1:4" x14ac:dyDescent="0.3">
      <c r="A167" t="s">
        <v>346</v>
      </c>
      <c r="B167" t="s">
        <v>347</v>
      </c>
      <c r="C167">
        <f t="shared" si="4"/>
        <v>23.744635555555558</v>
      </c>
      <c r="D167">
        <f t="shared" si="5"/>
        <v>90.461571111111112</v>
      </c>
    </row>
    <row r="168" spans="1:4" x14ac:dyDescent="0.3">
      <c r="A168" t="s">
        <v>348</v>
      </c>
      <c r="B168" t="s">
        <v>349</v>
      </c>
      <c r="C168">
        <f t="shared" si="4"/>
        <v>23.74479638888889</v>
      </c>
      <c r="D168">
        <f t="shared" si="5"/>
        <v>90.471374166666664</v>
      </c>
    </row>
    <row r="169" spans="1:4" x14ac:dyDescent="0.3">
      <c r="A169" t="s">
        <v>350</v>
      </c>
      <c r="B169" t="s">
        <v>351</v>
      </c>
      <c r="C169">
        <f t="shared" si="4"/>
        <v>23.744956666666667</v>
      </c>
      <c r="D169">
        <f t="shared" si="5"/>
        <v>90.481176944444442</v>
      </c>
    </row>
    <row r="170" spans="1:4" x14ac:dyDescent="0.3">
      <c r="A170" t="s">
        <v>352</v>
      </c>
      <c r="B170" t="s">
        <v>353</v>
      </c>
      <c r="C170">
        <f t="shared" si="4"/>
        <v>23.745116111111113</v>
      </c>
      <c r="D170">
        <f t="shared" si="5"/>
        <v>90.490980000000008</v>
      </c>
    </row>
    <row r="171" spans="1:4" x14ac:dyDescent="0.3">
      <c r="A171" t="s">
        <v>354</v>
      </c>
      <c r="B171" t="s">
        <v>355</v>
      </c>
      <c r="C171">
        <f t="shared" si="4"/>
        <v>23.745274999999999</v>
      </c>
      <c r="D171">
        <f t="shared" si="5"/>
        <v>90.500783333333331</v>
      </c>
    </row>
    <row r="172" spans="1:4" x14ac:dyDescent="0.3">
      <c r="A172" t="s">
        <v>356</v>
      </c>
      <c r="B172" t="s">
        <v>357</v>
      </c>
      <c r="C172">
        <f t="shared" si="4"/>
        <v>23.745433333333335</v>
      </c>
      <c r="D172">
        <f t="shared" si="5"/>
        <v>90.510586388888882</v>
      </c>
    </row>
    <row r="173" spans="1:4" x14ac:dyDescent="0.3">
      <c r="A173" t="s">
        <v>358</v>
      </c>
      <c r="B173" t="s">
        <v>359</v>
      </c>
      <c r="C173">
        <f t="shared" si="4"/>
        <v>23.751511944444445</v>
      </c>
      <c r="D173">
        <f t="shared" si="5"/>
        <v>90.333958055555556</v>
      </c>
    </row>
    <row r="174" spans="1:4" x14ac:dyDescent="0.3">
      <c r="A174" t="s">
        <v>360</v>
      </c>
      <c r="B174" t="s">
        <v>361</v>
      </c>
      <c r="C174">
        <f t="shared" si="4"/>
        <v>23.751680833333332</v>
      </c>
      <c r="D174">
        <f t="shared" si="5"/>
        <v>90.343760555555548</v>
      </c>
    </row>
    <row r="175" spans="1:4" x14ac:dyDescent="0.3">
      <c r="A175" t="s">
        <v>362</v>
      </c>
      <c r="B175" t="s">
        <v>363</v>
      </c>
      <c r="C175">
        <f t="shared" si="4"/>
        <v>23.751849166666666</v>
      </c>
      <c r="D175">
        <f t="shared" si="5"/>
        <v>90.353563055555554</v>
      </c>
    </row>
    <row r="176" spans="1:4" x14ac:dyDescent="0.3">
      <c r="A176" t="s">
        <v>364</v>
      </c>
      <c r="B176" t="s">
        <v>365</v>
      </c>
      <c r="C176">
        <f t="shared" si="4"/>
        <v>23.752016666666666</v>
      </c>
      <c r="D176">
        <f t="shared" si="5"/>
        <v>90.363365555555546</v>
      </c>
    </row>
    <row r="177" spans="1:4" x14ac:dyDescent="0.3">
      <c r="A177" t="s">
        <v>366</v>
      </c>
      <c r="B177" t="s">
        <v>367</v>
      </c>
      <c r="C177">
        <f t="shared" si="4"/>
        <v>23.75218388888889</v>
      </c>
      <c r="D177">
        <f t="shared" si="5"/>
        <v>90.373168055555553</v>
      </c>
    </row>
    <row r="178" spans="1:4" x14ac:dyDescent="0.3">
      <c r="A178" t="s">
        <v>368</v>
      </c>
      <c r="B178" t="s">
        <v>369</v>
      </c>
      <c r="C178">
        <f t="shared" si="4"/>
        <v>23.752350277777779</v>
      </c>
      <c r="D178">
        <f t="shared" si="5"/>
        <v>90.382970833333331</v>
      </c>
    </row>
    <row r="179" spans="1:4" x14ac:dyDescent="0.3">
      <c r="A179" t="s">
        <v>370</v>
      </c>
      <c r="B179" t="s">
        <v>371</v>
      </c>
      <c r="C179">
        <f t="shared" si="4"/>
        <v>23.75251611111111</v>
      </c>
      <c r="D179">
        <f t="shared" si="5"/>
        <v>90.392773888888897</v>
      </c>
    </row>
    <row r="180" spans="1:4" x14ac:dyDescent="0.3">
      <c r="A180" t="s">
        <v>372</v>
      </c>
      <c r="B180" t="s">
        <v>373</v>
      </c>
      <c r="C180">
        <f t="shared" si="4"/>
        <v>23.752681111111112</v>
      </c>
      <c r="D180">
        <f t="shared" si="5"/>
        <v>90.402576666666675</v>
      </c>
    </row>
    <row r="181" spans="1:4" x14ac:dyDescent="0.3">
      <c r="A181" t="s">
        <v>374</v>
      </c>
      <c r="B181" t="s">
        <v>375</v>
      </c>
      <c r="C181">
        <f t="shared" si="4"/>
        <v>23.752845833333332</v>
      </c>
      <c r="D181">
        <f t="shared" si="5"/>
        <v>90.412379722222227</v>
      </c>
    </row>
    <row r="182" spans="1:4" x14ac:dyDescent="0.3">
      <c r="A182" t="s">
        <v>376</v>
      </c>
      <c r="B182" t="s">
        <v>377</v>
      </c>
      <c r="C182">
        <f t="shared" si="4"/>
        <v>23.753009722222224</v>
      </c>
      <c r="D182">
        <f t="shared" si="5"/>
        <v>90.422182777777778</v>
      </c>
    </row>
    <row r="183" spans="1:4" x14ac:dyDescent="0.3">
      <c r="A183" t="s">
        <v>378</v>
      </c>
      <c r="B183" t="s">
        <v>379</v>
      </c>
      <c r="C183">
        <f t="shared" si="4"/>
        <v>23.753173055555557</v>
      </c>
      <c r="D183">
        <f t="shared" si="5"/>
        <v>90.431986111111115</v>
      </c>
    </row>
    <row r="184" spans="1:4" x14ac:dyDescent="0.3">
      <c r="A184" t="s">
        <v>380</v>
      </c>
      <c r="B184" t="s">
        <v>381</v>
      </c>
      <c r="C184">
        <f t="shared" si="4"/>
        <v>23.753335833333335</v>
      </c>
      <c r="D184">
        <f t="shared" si="5"/>
        <v>90.441789444444453</v>
      </c>
    </row>
    <row r="185" spans="1:4" x14ac:dyDescent="0.3">
      <c r="A185" t="s">
        <v>382</v>
      </c>
      <c r="B185" t="s">
        <v>383</v>
      </c>
      <c r="C185">
        <f t="shared" si="4"/>
        <v>23.753497777777778</v>
      </c>
      <c r="D185">
        <f t="shared" si="5"/>
        <v>90.451592777777776</v>
      </c>
    </row>
    <row r="186" spans="1:4" x14ac:dyDescent="0.3">
      <c r="A186" t="s">
        <v>384</v>
      </c>
      <c r="B186" t="s">
        <v>385</v>
      </c>
      <c r="C186">
        <f t="shared" si="4"/>
        <v>23.753659166666665</v>
      </c>
      <c r="D186">
        <f t="shared" si="5"/>
        <v>90.461396111111114</v>
      </c>
    </row>
    <row r="187" spans="1:4" x14ac:dyDescent="0.3">
      <c r="A187" t="s">
        <v>386</v>
      </c>
      <c r="B187" t="s">
        <v>387</v>
      </c>
      <c r="C187">
        <f t="shared" si="4"/>
        <v>23.753820000000001</v>
      </c>
      <c r="D187">
        <f t="shared" si="5"/>
        <v>90.471199722222224</v>
      </c>
    </row>
    <row r="188" spans="1:4" x14ac:dyDescent="0.3">
      <c r="A188" t="s">
        <v>388</v>
      </c>
      <c r="B188" t="s">
        <v>389</v>
      </c>
      <c r="C188">
        <f t="shared" si="4"/>
        <v>23.753980277777778</v>
      </c>
      <c r="D188">
        <f t="shared" si="5"/>
        <v>90.481003333333334</v>
      </c>
    </row>
    <row r="189" spans="1:4" x14ac:dyDescent="0.3">
      <c r="A189" t="s">
        <v>390</v>
      </c>
      <c r="B189" t="s">
        <v>391</v>
      </c>
      <c r="C189">
        <f t="shared" si="4"/>
        <v>23.75414</v>
      </c>
      <c r="D189">
        <f t="shared" si="5"/>
        <v>90.49080722222223</v>
      </c>
    </row>
    <row r="190" spans="1:4" x14ac:dyDescent="0.3">
      <c r="A190" t="s">
        <v>392</v>
      </c>
      <c r="B190" t="s">
        <v>393</v>
      </c>
      <c r="C190">
        <f t="shared" si="4"/>
        <v>23.75429888888889</v>
      </c>
      <c r="D190">
        <f t="shared" si="5"/>
        <v>90.50061083333334</v>
      </c>
    </row>
    <row r="191" spans="1:4" x14ac:dyDescent="0.3">
      <c r="A191" t="s">
        <v>394</v>
      </c>
      <c r="B191" t="s">
        <v>395</v>
      </c>
      <c r="C191">
        <f t="shared" si="4"/>
        <v>23.754457222222221</v>
      </c>
      <c r="D191">
        <f t="shared" si="5"/>
        <v>90.510414722222222</v>
      </c>
    </row>
    <row r="192" spans="1:4" x14ac:dyDescent="0.3">
      <c r="A192" t="s">
        <v>396</v>
      </c>
      <c r="B192" t="s">
        <v>397</v>
      </c>
      <c r="C192">
        <f t="shared" si="4"/>
        <v>23.760534722222221</v>
      </c>
      <c r="D192">
        <f t="shared" si="5"/>
        <v>90.333774166666657</v>
      </c>
    </row>
    <row r="193" spans="1:4" x14ac:dyDescent="0.3">
      <c r="A193" t="s">
        <v>398</v>
      </c>
      <c r="B193" t="s">
        <v>399</v>
      </c>
      <c r="C193">
        <f t="shared" si="4"/>
        <v>23.760703611111111</v>
      </c>
      <c r="D193">
        <f t="shared" si="5"/>
        <v>90.343577222222223</v>
      </c>
    </row>
    <row r="194" spans="1:4" x14ac:dyDescent="0.3">
      <c r="A194" t="s">
        <v>400</v>
      </c>
      <c r="B194" t="s">
        <v>401</v>
      </c>
      <c r="C194">
        <f t="shared" si="4"/>
        <v>23.760871944444446</v>
      </c>
      <c r="D194">
        <f t="shared" si="5"/>
        <v>90.353380277777774</v>
      </c>
    </row>
    <row r="195" spans="1:4" x14ac:dyDescent="0.3">
      <c r="A195" t="s">
        <v>402</v>
      </c>
      <c r="B195" t="s">
        <v>403</v>
      </c>
      <c r="C195">
        <f t="shared" ref="C195:C258" si="6">DecimalDegreesConverter(A195,,,,TRUE)</f>
        <v>23.761039722222222</v>
      </c>
      <c r="D195">
        <f t="shared" ref="D195:D258" si="7">DecimalDegreesConverter(B195,,,,TRUE)</f>
        <v>90.363183611111111</v>
      </c>
    </row>
    <row r="196" spans="1:4" x14ac:dyDescent="0.3">
      <c r="A196" t="s">
        <v>404</v>
      </c>
      <c r="B196" t="s">
        <v>405</v>
      </c>
      <c r="C196">
        <f t="shared" si="6"/>
        <v>23.761206666666666</v>
      </c>
      <c r="D196">
        <f t="shared" si="7"/>
        <v>90.372986944444435</v>
      </c>
    </row>
    <row r="197" spans="1:4" x14ac:dyDescent="0.3">
      <c r="A197" t="s">
        <v>406</v>
      </c>
      <c r="B197" t="s">
        <v>407</v>
      </c>
      <c r="C197">
        <f t="shared" si="6"/>
        <v>23.761373333333335</v>
      </c>
      <c r="D197">
        <f t="shared" si="7"/>
        <v>90.382790555555545</v>
      </c>
    </row>
    <row r="198" spans="1:4" x14ac:dyDescent="0.3">
      <c r="A198" t="s">
        <v>408</v>
      </c>
      <c r="B198" t="s">
        <v>409</v>
      </c>
      <c r="C198">
        <f t="shared" si="6"/>
        <v>23.761539166666665</v>
      </c>
      <c r="D198">
        <f t="shared" si="7"/>
        <v>90.392593888888896</v>
      </c>
    </row>
    <row r="199" spans="1:4" x14ac:dyDescent="0.3">
      <c r="A199" t="s">
        <v>410</v>
      </c>
      <c r="B199" t="s">
        <v>411</v>
      </c>
      <c r="C199">
        <f t="shared" si="6"/>
        <v>23.761704444444444</v>
      </c>
      <c r="D199">
        <f t="shared" si="7"/>
        <v>90.402397500000006</v>
      </c>
    </row>
    <row r="200" spans="1:4" x14ac:dyDescent="0.3">
      <c r="A200" t="s">
        <v>412</v>
      </c>
      <c r="B200" t="s">
        <v>413</v>
      </c>
      <c r="C200">
        <f t="shared" si="6"/>
        <v>23.761869166666667</v>
      </c>
      <c r="D200">
        <f t="shared" si="7"/>
        <v>90.412201388888889</v>
      </c>
    </row>
    <row r="201" spans="1:4" x14ac:dyDescent="0.3">
      <c r="A201" t="s">
        <v>414</v>
      </c>
      <c r="B201" t="s">
        <v>415</v>
      </c>
      <c r="C201">
        <f t="shared" si="6"/>
        <v>23.762033055555555</v>
      </c>
      <c r="D201">
        <f t="shared" si="7"/>
        <v>90.422004999999999</v>
      </c>
    </row>
    <row r="202" spans="1:4" x14ac:dyDescent="0.3">
      <c r="A202" t="s">
        <v>416</v>
      </c>
      <c r="B202" t="s">
        <v>417</v>
      </c>
      <c r="C202">
        <f t="shared" si="6"/>
        <v>23.762196388888889</v>
      </c>
      <c r="D202">
        <f t="shared" si="7"/>
        <v>90.431808888888895</v>
      </c>
    </row>
    <row r="203" spans="1:4" x14ac:dyDescent="0.3">
      <c r="A203" t="s">
        <v>418</v>
      </c>
      <c r="B203" t="s">
        <v>419</v>
      </c>
      <c r="C203">
        <f t="shared" si="6"/>
        <v>23.762359166666666</v>
      </c>
      <c r="D203">
        <f t="shared" si="7"/>
        <v>90.441612777777777</v>
      </c>
    </row>
    <row r="204" spans="1:4" x14ac:dyDescent="0.3">
      <c r="A204" t="s">
        <v>420</v>
      </c>
      <c r="B204" t="s">
        <v>421</v>
      </c>
      <c r="C204">
        <f t="shared" si="6"/>
        <v>23.762521388888889</v>
      </c>
      <c r="D204">
        <f t="shared" si="7"/>
        <v>90.451416944444446</v>
      </c>
    </row>
    <row r="205" spans="1:4" x14ac:dyDescent="0.3">
      <c r="A205" t="s">
        <v>422</v>
      </c>
      <c r="B205" t="s">
        <v>423</v>
      </c>
      <c r="C205">
        <f t="shared" si="6"/>
        <v>23.762683055555556</v>
      </c>
      <c r="D205">
        <f t="shared" si="7"/>
        <v>90.461221111111115</v>
      </c>
    </row>
    <row r="206" spans="1:4" x14ac:dyDescent="0.3">
      <c r="A206" t="s">
        <v>424</v>
      </c>
      <c r="B206" t="s">
        <v>425</v>
      </c>
      <c r="C206">
        <f t="shared" si="6"/>
        <v>23.762843888888888</v>
      </c>
      <c r="D206">
        <f t="shared" si="7"/>
        <v>90.471025277777784</v>
      </c>
    </row>
    <row r="207" spans="1:4" x14ac:dyDescent="0.3">
      <c r="A207" t="s">
        <v>426</v>
      </c>
      <c r="B207" t="s">
        <v>427</v>
      </c>
      <c r="C207">
        <f t="shared" si="6"/>
        <v>23.763004166666665</v>
      </c>
      <c r="D207">
        <f t="shared" si="7"/>
        <v>90.480829722222225</v>
      </c>
    </row>
    <row r="208" spans="1:4" x14ac:dyDescent="0.3">
      <c r="A208" t="s">
        <v>428</v>
      </c>
      <c r="B208" t="s">
        <v>429</v>
      </c>
      <c r="C208">
        <f t="shared" si="6"/>
        <v>23.76316388888889</v>
      </c>
      <c r="D208">
        <f t="shared" si="7"/>
        <v>90.490633888888894</v>
      </c>
    </row>
    <row r="209" spans="1:4" x14ac:dyDescent="0.3">
      <c r="A209" t="s">
        <v>430</v>
      </c>
      <c r="B209" t="s">
        <v>431</v>
      </c>
      <c r="C209">
        <f t="shared" si="6"/>
        <v>23.763322777777777</v>
      </c>
      <c r="D209">
        <f t="shared" si="7"/>
        <v>90.500438611111107</v>
      </c>
    </row>
    <row r="210" spans="1:4" x14ac:dyDescent="0.3">
      <c r="A210" t="s">
        <v>432</v>
      </c>
      <c r="B210" t="s">
        <v>433</v>
      </c>
      <c r="C210">
        <f t="shared" si="6"/>
        <v>23.763481388888888</v>
      </c>
      <c r="D210">
        <f t="shared" si="7"/>
        <v>90.510243055555549</v>
      </c>
    </row>
    <row r="211" spans="1:4" x14ac:dyDescent="0.3">
      <c r="A211" t="s">
        <v>434</v>
      </c>
      <c r="B211" t="s">
        <v>435</v>
      </c>
      <c r="C211">
        <f t="shared" si="6"/>
        <v>23.769557222222222</v>
      </c>
      <c r="D211">
        <f t="shared" si="7"/>
        <v>90.333590277777773</v>
      </c>
    </row>
    <row r="212" spans="1:4" x14ac:dyDescent="0.3">
      <c r="A212" t="s">
        <v>436</v>
      </c>
      <c r="B212" t="s">
        <v>437</v>
      </c>
      <c r="C212">
        <f t="shared" si="6"/>
        <v>23.769726388888888</v>
      </c>
      <c r="D212">
        <f t="shared" si="7"/>
        <v>90.343393888888883</v>
      </c>
    </row>
    <row r="213" spans="1:4" x14ac:dyDescent="0.3">
      <c r="A213" t="s">
        <v>438</v>
      </c>
      <c r="B213" t="s">
        <v>439</v>
      </c>
      <c r="C213">
        <f t="shared" si="6"/>
        <v>23.769894722222222</v>
      </c>
      <c r="D213">
        <f t="shared" si="7"/>
        <v>90.353197777777766</v>
      </c>
    </row>
    <row r="214" spans="1:4" x14ac:dyDescent="0.3">
      <c r="A214" t="s">
        <v>440</v>
      </c>
      <c r="B214" t="s">
        <v>441</v>
      </c>
      <c r="C214">
        <f t="shared" si="6"/>
        <v>23.770062499999998</v>
      </c>
      <c r="D214">
        <f t="shared" si="7"/>
        <v>90.363001666666662</v>
      </c>
    </row>
    <row r="215" spans="1:4" x14ac:dyDescent="0.3">
      <c r="A215" t="s">
        <v>442</v>
      </c>
      <c r="B215" t="s">
        <v>443</v>
      </c>
      <c r="C215">
        <f t="shared" si="6"/>
        <v>23.770229722222222</v>
      </c>
      <c r="D215">
        <f t="shared" si="7"/>
        <v>90.372805833333331</v>
      </c>
    </row>
    <row r="216" spans="1:4" x14ac:dyDescent="0.3">
      <c r="A216" t="s">
        <v>444</v>
      </c>
      <c r="B216" t="s">
        <v>445</v>
      </c>
      <c r="C216">
        <f t="shared" si="6"/>
        <v>23.770396388888887</v>
      </c>
      <c r="D216">
        <f t="shared" si="7"/>
        <v>90.382609722222213</v>
      </c>
    </row>
    <row r="217" spans="1:4" x14ac:dyDescent="0.3">
      <c r="A217" t="s">
        <v>446</v>
      </c>
      <c r="B217" t="s">
        <v>447</v>
      </c>
      <c r="C217">
        <f t="shared" si="6"/>
        <v>23.770562222222221</v>
      </c>
      <c r="D217">
        <f t="shared" si="7"/>
        <v>90.392413888888896</v>
      </c>
    </row>
    <row r="218" spans="1:4" x14ac:dyDescent="0.3">
      <c r="A218" t="s">
        <v>448</v>
      </c>
      <c r="B218" t="s">
        <v>449</v>
      </c>
      <c r="C218">
        <f t="shared" si="6"/>
        <v>23.770727777777775</v>
      </c>
      <c r="D218">
        <f t="shared" si="7"/>
        <v>90.402218333333337</v>
      </c>
    </row>
    <row r="219" spans="1:4" x14ac:dyDescent="0.3">
      <c r="A219" t="s">
        <v>450</v>
      </c>
      <c r="B219" t="s">
        <v>451</v>
      </c>
      <c r="C219">
        <f t="shared" si="6"/>
        <v>23.770892499999999</v>
      </c>
      <c r="D219">
        <f t="shared" si="7"/>
        <v>90.412022777777779</v>
      </c>
    </row>
    <row r="220" spans="1:4" x14ac:dyDescent="0.3">
      <c r="A220" t="s">
        <v>452</v>
      </c>
      <c r="B220" t="s">
        <v>453</v>
      </c>
      <c r="C220">
        <f t="shared" si="6"/>
        <v>23.771056388888887</v>
      </c>
      <c r="D220">
        <f t="shared" si="7"/>
        <v>90.421827222222234</v>
      </c>
    </row>
    <row r="221" spans="1:4" x14ac:dyDescent="0.3">
      <c r="A221" t="s">
        <v>454</v>
      </c>
      <c r="B221" t="s">
        <v>455</v>
      </c>
      <c r="C221">
        <f t="shared" si="6"/>
        <v>23.77122</v>
      </c>
      <c r="D221">
        <f t="shared" si="7"/>
        <v>90.431631666666675</v>
      </c>
    </row>
    <row r="222" spans="1:4" x14ac:dyDescent="0.3">
      <c r="A222" t="s">
        <v>456</v>
      </c>
      <c r="B222" t="s">
        <v>457</v>
      </c>
      <c r="C222">
        <f t="shared" si="6"/>
        <v>23.771382777777777</v>
      </c>
      <c r="D222">
        <f t="shared" si="7"/>
        <v>90.441436388888889</v>
      </c>
    </row>
    <row r="223" spans="1:4" x14ac:dyDescent="0.3">
      <c r="A223" t="s">
        <v>458</v>
      </c>
      <c r="B223" t="s">
        <v>459</v>
      </c>
      <c r="C223">
        <f t="shared" si="6"/>
        <v>23.771545</v>
      </c>
      <c r="D223">
        <f t="shared" si="7"/>
        <v>90.451241111111116</v>
      </c>
    </row>
    <row r="224" spans="1:4" x14ac:dyDescent="0.3">
      <c r="A224" t="s">
        <v>460</v>
      </c>
      <c r="B224" t="s">
        <v>461</v>
      </c>
      <c r="C224">
        <f t="shared" si="6"/>
        <v>23.771706666666667</v>
      </c>
      <c r="D224">
        <f t="shared" si="7"/>
        <v>90.46104583333333</v>
      </c>
    </row>
    <row r="225" spans="1:4" x14ac:dyDescent="0.3">
      <c r="A225" t="s">
        <v>462</v>
      </c>
      <c r="B225" t="s">
        <v>463</v>
      </c>
      <c r="C225">
        <f t="shared" si="6"/>
        <v>23.771867499999999</v>
      </c>
      <c r="D225">
        <f t="shared" si="7"/>
        <v>90.47085083333333</v>
      </c>
    </row>
    <row r="226" spans="1:4" x14ac:dyDescent="0.3">
      <c r="A226" t="s">
        <v>464</v>
      </c>
      <c r="B226" t="s">
        <v>465</v>
      </c>
      <c r="C226">
        <f t="shared" si="6"/>
        <v>23.772028055555555</v>
      </c>
      <c r="D226">
        <f t="shared" si="7"/>
        <v>90.48065583333333</v>
      </c>
    </row>
    <row r="227" spans="1:4" x14ac:dyDescent="0.3">
      <c r="A227" t="s">
        <v>466</v>
      </c>
      <c r="B227" t="s">
        <v>467</v>
      </c>
      <c r="C227">
        <f t="shared" si="6"/>
        <v>23.772187777777777</v>
      </c>
      <c r="D227">
        <f t="shared" si="7"/>
        <v>90.49046083333333</v>
      </c>
    </row>
    <row r="228" spans="1:4" x14ac:dyDescent="0.3">
      <c r="A228" t="s">
        <v>468</v>
      </c>
      <c r="B228" t="s">
        <v>469</v>
      </c>
      <c r="C228">
        <f t="shared" si="6"/>
        <v>23.772346666666667</v>
      </c>
      <c r="D228">
        <f t="shared" si="7"/>
        <v>90.50026583333333</v>
      </c>
    </row>
    <row r="229" spans="1:4" x14ac:dyDescent="0.3">
      <c r="A229" t="s">
        <v>470</v>
      </c>
      <c r="B229" t="s">
        <v>471</v>
      </c>
      <c r="C229">
        <f t="shared" si="6"/>
        <v>23.772505277777778</v>
      </c>
      <c r="D229">
        <f t="shared" si="7"/>
        <v>90.510071111111117</v>
      </c>
    </row>
    <row r="230" spans="1:4" x14ac:dyDescent="0.3">
      <c r="A230" t="s">
        <v>472</v>
      </c>
      <c r="B230" t="s">
        <v>473</v>
      </c>
      <c r="C230">
        <f t="shared" si="6"/>
        <v>23.778579999999998</v>
      </c>
      <c r="D230">
        <f t="shared" si="7"/>
        <v>90.333406111111103</v>
      </c>
    </row>
    <row r="231" spans="1:4" x14ac:dyDescent="0.3">
      <c r="A231" t="s">
        <v>474</v>
      </c>
      <c r="B231" t="s">
        <v>475</v>
      </c>
      <c r="C231">
        <f t="shared" si="6"/>
        <v>23.778749166666667</v>
      </c>
      <c r="D231">
        <f t="shared" si="7"/>
        <v>90.343210555555544</v>
      </c>
    </row>
    <row r="232" spans="1:4" x14ac:dyDescent="0.3">
      <c r="A232" t="s">
        <v>476</v>
      </c>
      <c r="B232" t="s">
        <v>477</v>
      </c>
      <c r="C232">
        <f t="shared" si="6"/>
        <v>23.778917777777778</v>
      </c>
      <c r="D232">
        <f t="shared" si="7"/>
        <v>90.353014999999999</v>
      </c>
    </row>
    <row r="233" spans="1:4" x14ac:dyDescent="0.3">
      <c r="A233" t="s">
        <v>478</v>
      </c>
      <c r="B233" t="s">
        <v>479</v>
      </c>
      <c r="C233">
        <f t="shared" si="6"/>
        <v>23.779085555555554</v>
      </c>
      <c r="D233">
        <f t="shared" si="7"/>
        <v>90.362819722222213</v>
      </c>
    </row>
    <row r="234" spans="1:4" x14ac:dyDescent="0.3">
      <c r="A234" t="s">
        <v>480</v>
      </c>
      <c r="B234" t="s">
        <v>481</v>
      </c>
      <c r="C234">
        <f t="shared" si="6"/>
        <v>23.779252777777778</v>
      </c>
      <c r="D234">
        <f t="shared" si="7"/>
        <v>90.37262444444444</v>
      </c>
    </row>
    <row r="235" spans="1:4" x14ac:dyDescent="0.3">
      <c r="A235" t="s">
        <v>482</v>
      </c>
      <c r="B235" t="s">
        <v>483</v>
      </c>
      <c r="C235">
        <f t="shared" si="6"/>
        <v>23.779419444444443</v>
      </c>
      <c r="D235">
        <f t="shared" si="7"/>
        <v>90.382429166666654</v>
      </c>
    </row>
    <row r="236" spans="1:4" x14ac:dyDescent="0.3">
      <c r="A236" t="s">
        <v>484</v>
      </c>
      <c r="B236" t="s">
        <v>485</v>
      </c>
      <c r="C236">
        <f t="shared" si="6"/>
        <v>23.779585555555556</v>
      </c>
      <c r="D236">
        <f t="shared" si="7"/>
        <v>90.392233888888896</v>
      </c>
    </row>
    <row r="237" spans="1:4" x14ac:dyDescent="0.3">
      <c r="A237" t="s">
        <v>486</v>
      </c>
      <c r="B237" t="s">
        <v>487</v>
      </c>
      <c r="C237">
        <f t="shared" si="6"/>
        <v>23.779750833333331</v>
      </c>
      <c r="D237">
        <f t="shared" si="7"/>
        <v>90.402038888888896</v>
      </c>
    </row>
    <row r="238" spans="1:4" x14ac:dyDescent="0.3">
      <c r="A238" t="s">
        <v>488</v>
      </c>
      <c r="B238" t="s">
        <v>489</v>
      </c>
      <c r="C238">
        <f t="shared" si="6"/>
        <v>23.779915555555554</v>
      </c>
      <c r="D238">
        <f t="shared" si="7"/>
        <v>90.411843888888896</v>
      </c>
    </row>
    <row r="239" spans="1:4" x14ac:dyDescent="0.3">
      <c r="A239" t="s">
        <v>490</v>
      </c>
      <c r="B239" t="s">
        <v>491</v>
      </c>
      <c r="C239">
        <f t="shared" si="6"/>
        <v>23.780079722222222</v>
      </c>
      <c r="D239">
        <f t="shared" si="7"/>
        <v>90.421649166666668</v>
      </c>
    </row>
    <row r="240" spans="1:4" x14ac:dyDescent="0.3">
      <c r="A240" t="s">
        <v>492</v>
      </c>
      <c r="B240" t="s">
        <v>493</v>
      </c>
      <c r="C240">
        <f t="shared" si="6"/>
        <v>23.780243333333331</v>
      </c>
      <c r="D240">
        <f t="shared" si="7"/>
        <v>90.431454444444455</v>
      </c>
    </row>
    <row r="241" spans="1:4" x14ac:dyDescent="0.3">
      <c r="A241" t="s">
        <v>494</v>
      </c>
      <c r="B241" t="s">
        <v>495</v>
      </c>
      <c r="C241">
        <f t="shared" si="6"/>
        <v>23.780406388888888</v>
      </c>
      <c r="D241">
        <f t="shared" si="7"/>
        <v>90.441259722222227</v>
      </c>
    </row>
    <row r="242" spans="1:4" x14ac:dyDescent="0.3">
      <c r="A242" t="s">
        <v>496</v>
      </c>
      <c r="B242" t="s">
        <v>497</v>
      </c>
      <c r="C242">
        <f t="shared" si="6"/>
        <v>23.780568611111111</v>
      </c>
      <c r="D242">
        <f t="shared" si="7"/>
        <v>90.451065</v>
      </c>
    </row>
    <row r="243" spans="1:4" x14ac:dyDescent="0.3">
      <c r="A243" t="s">
        <v>498</v>
      </c>
      <c r="B243" t="s">
        <v>499</v>
      </c>
      <c r="C243">
        <f t="shared" si="6"/>
        <v>23.780730277777778</v>
      </c>
      <c r="D243">
        <f t="shared" si="7"/>
        <v>90.460870555555559</v>
      </c>
    </row>
    <row r="244" spans="1:4" x14ac:dyDescent="0.3">
      <c r="A244" t="s">
        <v>500</v>
      </c>
      <c r="B244" t="s">
        <v>501</v>
      </c>
      <c r="C244">
        <f t="shared" si="6"/>
        <v>23.78089138888889</v>
      </c>
      <c r="D244">
        <f t="shared" si="7"/>
        <v>90.470676111111118</v>
      </c>
    </row>
    <row r="245" spans="1:4" x14ac:dyDescent="0.3">
      <c r="A245" t="s">
        <v>502</v>
      </c>
      <c r="B245" t="s">
        <v>503</v>
      </c>
      <c r="C245">
        <f t="shared" si="6"/>
        <v>23.781051666666666</v>
      </c>
      <c r="D245">
        <f t="shared" si="7"/>
        <v>90.480481666666662</v>
      </c>
    </row>
    <row r="246" spans="1:4" x14ac:dyDescent="0.3">
      <c r="A246" t="s">
        <v>504</v>
      </c>
      <c r="B246" t="s">
        <v>505</v>
      </c>
      <c r="C246">
        <f t="shared" si="6"/>
        <v>23.781211666666664</v>
      </c>
      <c r="D246">
        <f t="shared" si="7"/>
        <v>90.490287500000008</v>
      </c>
    </row>
    <row r="247" spans="1:4" x14ac:dyDescent="0.3">
      <c r="A247" t="s">
        <v>506</v>
      </c>
      <c r="B247" t="s">
        <v>507</v>
      </c>
      <c r="C247">
        <f t="shared" si="6"/>
        <v>23.781370833333334</v>
      </c>
      <c r="D247">
        <f t="shared" si="7"/>
        <v>90.500093333333339</v>
      </c>
    </row>
    <row r="248" spans="1:4" x14ac:dyDescent="0.3">
      <c r="A248" t="s">
        <v>508</v>
      </c>
      <c r="B248" t="s">
        <v>509</v>
      </c>
      <c r="C248">
        <f t="shared" si="6"/>
        <v>23.781529166666665</v>
      </c>
      <c r="D248">
        <f t="shared" si="7"/>
        <v>90.509899166666671</v>
      </c>
    </row>
    <row r="249" spans="1:4" x14ac:dyDescent="0.3">
      <c r="A249" t="s">
        <v>510</v>
      </c>
      <c r="B249" t="s">
        <v>511</v>
      </c>
      <c r="C249">
        <f t="shared" si="6"/>
        <v>23.787602777777778</v>
      </c>
      <c r="D249">
        <f t="shared" si="7"/>
        <v>90.333221944444446</v>
      </c>
    </row>
    <row r="250" spans="1:4" x14ac:dyDescent="0.3">
      <c r="A250" t="s">
        <v>512</v>
      </c>
      <c r="B250" t="s">
        <v>513</v>
      </c>
      <c r="C250">
        <f t="shared" si="6"/>
        <v>23.787771944444447</v>
      </c>
      <c r="D250">
        <f t="shared" si="7"/>
        <v>90.343026944444446</v>
      </c>
    </row>
    <row r="251" spans="1:4" x14ac:dyDescent="0.3">
      <c r="A251" t="s">
        <v>514</v>
      </c>
      <c r="B251" t="s">
        <v>515</v>
      </c>
      <c r="C251">
        <f t="shared" si="6"/>
        <v>23.787940555555558</v>
      </c>
      <c r="D251">
        <f t="shared" si="7"/>
        <v>90.352832222222219</v>
      </c>
    </row>
    <row r="252" spans="1:4" x14ac:dyDescent="0.3">
      <c r="A252" t="s">
        <v>516</v>
      </c>
      <c r="B252" t="s">
        <v>517</v>
      </c>
      <c r="C252">
        <f t="shared" si="6"/>
        <v>23.788108611111113</v>
      </c>
      <c r="D252">
        <f t="shared" si="7"/>
        <v>90.362637499999991</v>
      </c>
    </row>
    <row r="253" spans="1:4" x14ac:dyDescent="0.3">
      <c r="A253" t="s">
        <v>518</v>
      </c>
      <c r="B253" t="s">
        <v>519</v>
      </c>
      <c r="C253">
        <f t="shared" si="6"/>
        <v>23.788275833333334</v>
      </c>
      <c r="D253">
        <f t="shared" si="7"/>
        <v>90.372442777777778</v>
      </c>
    </row>
    <row r="254" spans="1:4" x14ac:dyDescent="0.3">
      <c r="A254" t="s">
        <v>520</v>
      </c>
      <c r="B254" t="s">
        <v>521</v>
      </c>
      <c r="C254">
        <f t="shared" si="6"/>
        <v>23.788442500000002</v>
      </c>
      <c r="D254">
        <f t="shared" si="7"/>
        <v>90.382248333333322</v>
      </c>
    </row>
    <row r="255" spans="1:4" x14ac:dyDescent="0.3">
      <c r="A255" t="s">
        <v>522</v>
      </c>
      <c r="B255" t="s">
        <v>523</v>
      </c>
      <c r="C255">
        <f t="shared" si="6"/>
        <v>23.788608611111112</v>
      </c>
      <c r="D255">
        <f t="shared" si="7"/>
        <v>90.392053888888896</v>
      </c>
    </row>
    <row r="256" spans="1:4" x14ac:dyDescent="0.3">
      <c r="A256" t="s">
        <v>524</v>
      </c>
      <c r="B256" t="s">
        <v>525</v>
      </c>
      <c r="C256">
        <f t="shared" si="6"/>
        <v>23.78877416666667</v>
      </c>
      <c r="D256">
        <f t="shared" si="7"/>
        <v>90.401859444444455</v>
      </c>
    </row>
    <row r="257" spans="1:4" x14ac:dyDescent="0.3">
      <c r="A257" t="s">
        <v>526</v>
      </c>
      <c r="B257" t="s">
        <v>527</v>
      </c>
      <c r="C257">
        <f t="shared" si="6"/>
        <v>23.78893888888889</v>
      </c>
      <c r="D257">
        <f t="shared" si="7"/>
        <v>90.411665277777786</v>
      </c>
    </row>
    <row r="258" spans="1:4" x14ac:dyDescent="0.3">
      <c r="A258" t="s">
        <v>528</v>
      </c>
      <c r="B258" t="s">
        <v>529</v>
      </c>
      <c r="C258">
        <f t="shared" si="6"/>
        <v>23.789103055555557</v>
      </c>
      <c r="D258">
        <f t="shared" si="7"/>
        <v>90.421471111111117</v>
      </c>
    </row>
    <row r="259" spans="1:4" x14ac:dyDescent="0.3">
      <c r="A259" t="s">
        <v>530</v>
      </c>
      <c r="B259" t="s">
        <v>531</v>
      </c>
      <c r="C259">
        <f t="shared" ref="C259:C322" si="8">DecimalDegreesConverter(A259,,,,TRUE)</f>
        <v>23.78926666666667</v>
      </c>
      <c r="D259">
        <f t="shared" ref="D259:D322" si="9">DecimalDegreesConverter(B259,,,,TRUE)</f>
        <v>90.431276944444448</v>
      </c>
    </row>
    <row r="260" spans="1:4" x14ac:dyDescent="0.3">
      <c r="A260" t="s">
        <v>532</v>
      </c>
      <c r="B260" t="s">
        <v>533</v>
      </c>
      <c r="C260">
        <f t="shared" si="8"/>
        <v>23.789429722222224</v>
      </c>
      <c r="D260">
        <f t="shared" si="9"/>
        <v>90.441083055555566</v>
      </c>
    </row>
    <row r="261" spans="1:4" x14ac:dyDescent="0.3">
      <c r="A261" t="s">
        <v>534</v>
      </c>
      <c r="B261" t="s">
        <v>535</v>
      </c>
      <c r="C261">
        <f t="shared" si="8"/>
        <v>23.789592222222225</v>
      </c>
      <c r="D261">
        <f t="shared" si="9"/>
        <v>90.450888888888898</v>
      </c>
    </row>
    <row r="262" spans="1:4" x14ac:dyDescent="0.3">
      <c r="A262" t="s">
        <v>536</v>
      </c>
      <c r="B262" t="s">
        <v>537</v>
      </c>
      <c r="C262">
        <f t="shared" si="8"/>
        <v>23.789753888888889</v>
      </c>
      <c r="D262">
        <f t="shared" si="9"/>
        <v>90.460695277777774</v>
      </c>
    </row>
    <row r="263" spans="1:4" x14ac:dyDescent="0.3">
      <c r="A263" t="s">
        <v>538</v>
      </c>
      <c r="B263" t="s">
        <v>539</v>
      </c>
      <c r="C263">
        <f t="shared" si="8"/>
        <v>23.789915000000001</v>
      </c>
      <c r="D263">
        <f t="shared" si="9"/>
        <v>90.470501388888891</v>
      </c>
    </row>
    <row r="264" spans="1:4" x14ac:dyDescent="0.3">
      <c r="A264" t="s">
        <v>540</v>
      </c>
      <c r="B264" t="s">
        <v>541</v>
      </c>
      <c r="C264">
        <f t="shared" si="8"/>
        <v>23.790075555555557</v>
      </c>
      <c r="D264">
        <f t="shared" si="9"/>
        <v>90.480307777777782</v>
      </c>
    </row>
    <row r="265" spans="1:4" x14ac:dyDescent="0.3">
      <c r="A265" t="s">
        <v>542</v>
      </c>
      <c r="B265" t="s">
        <v>543</v>
      </c>
      <c r="C265">
        <f t="shared" si="8"/>
        <v>23.790235277777779</v>
      </c>
      <c r="D265">
        <f t="shared" si="9"/>
        <v>90.490114166666672</v>
      </c>
    </row>
    <row r="266" spans="1:4" x14ac:dyDescent="0.3">
      <c r="A266" t="s">
        <v>544</v>
      </c>
      <c r="B266" t="s">
        <v>545</v>
      </c>
      <c r="C266">
        <f t="shared" si="8"/>
        <v>23.790394722222224</v>
      </c>
      <c r="D266">
        <f t="shared" si="9"/>
        <v>90.499920555555562</v>
      </c>
    </row>
    <row r="267" spans="1:4" x14ac:dyDescent="0.3">
      <c r="A267" t="s">
        <v>546</v>
      </c>
      <c r="B267" t="s">
        <v>547</v>
      </c>
      <c r="C267">
        <f t="shared" si="8"/>
        <v>23.790553333333335</v>
      </c>
      <c r="D267">
        <f t="shared" si="9"/>
        <v>90.509727222222224</v>
      </c>
    </row>
    <row r="268" spans="1:4" x14ac:dyDescent="0.3">
      <c r="A268" t="s">
        <v>548</v>
      </c>
      <c r="B268" t="s">
        <v>549</v>
      </c>
      <c r="C268">
        <f t="shared" si="8"/>
        <v>23.796625555555558</v>
      </c>
      <c r="D268">
        <f t="shared" si="9"/>
        <v>90.333037777777776</v>
      </c>
    </row>
    <row r="269" spans="1:4" x14ac:dyDescent="0.3">
      <c r="A269" t="s">
        <v>550</v>
      </c>
      <c r="B269" t="s">
        <v>551</v>
      </c>
      <c r="C269">
        <f t="shared" si="8"/>
        <v>23.796794722222224</v>
      </c>
      <c r="D269">
        <f t="shared" si="9"/>
        <v>90.342843611111107</v>
      </c>
    </row>
    <row r="270" spans="1:4" x14ac:dyDescent="0.3">
      <c r="A270" t="s">
        <v>552</v>
      </c>
      <c r="B270" t="s">
        <v>553</v>
      </c>
      <c r="C270">
        <f t="shared" si="8"/>
        <v>23.796963333333334</v>
      </c>
      <c r="D270">
        <f t="shared" si="9"/>
        <v>90.352649444444438</v>
      </c>
    </row>
    <row r="271" spans="1:4" x14ac:dyDescent="0.3">
      <c r="A271" t="s">
        <v>554</v>
      </c>
      <c r="B271" t="s">
        <v>555</v>
      </c>
      <c r="C271">
        <f t="shared" si="8"/>
        <v>23.797131388888889</v>
      </c>
      <c r="D271">
        <f t="shared" si="9"/>
        <v>90.362455277777769</v>
      </c>
    </row>
    <row r="272" spans="1:4" x14ac:dyDescent="0.3">
      <c r="A272" t="s">
        <v>556</v>
      </c>
      <c r="B272" t="s">
        <v>557</v>
      </c>
      <c r="C272">
        <f t="shared" si="8"/>
        <v>23.797298888888889</v>
      </c>
      <c r="D272">
        <f t="shared" si="9"/>
        <v>90.372261388888887</v>
      </c>
    </row>
    <row r="273" spans="1:4" x14ac:dyDescent="0.3">
      <c r="A273" t="s">
        <v>558</v>
      </c>
      <c r="B273" t="s">
        <v>559</v>
      </c>
      <c r="C273">
        <f t="shared" si="8"/>
        <v>23.797465555555558</v>
      </c>
      <c r="D273">
        <f t="shared" si="9"/>
        <v>90.382067499999991</v>
      </c>
    </row>
    <row r="274" spans="1:4" x14ac:dyDescent="0.3">
      <c r="A274" t="s">
        <v>560</v>
      </c>
      <c r="B274" t="s">
        <v>561</v>
      </c>
      <c r="C274">
        <f t="shared" si="8"/>
        <v>23.797631666666668</v>
      </c>
      <c r="D274">
        <f t="shared" si="9"/>
        <v>90.391873611111123</v>
      </c>
    </row>
    <row r="275" spans="1:4" x14ac:dyDescent="0.3">
      <c r="A275" t="s">
        <v>562</v>
      </c>
      <c r="B275" t="s">
        <v>563</v>
      </c>
      <c r="C275">
        <f t="shared" si="8"/>
        <v>23.797797222222226</v>
      </c>
      <c r="D275">
        <f t="shared" si="9"/>
        <v>90.401679999999999</v>
      </c>
    </row>
    <row r="276" spans="1:4" x14ac:dyDescent="0.3">
      <c r="A276" t="s">
        <v>564</v>
      </c>
      <c r="B276" t="s">
        <v>565</v>
      </c>
      <c r="C276">
        <f t="shared" si="8"/>
        <v>23.797962222222225</v>
      </c>
      <c r="D276">
        <f t="shared" si="9"/>
        <v>90.411486388888889</v>
      </c>
    </row>
    <row r="277" spans="1:4" x14ac:dyDescent="0.3">
      <c r="A277" t="s">
        <v>566</v>
      </c>
      <c r="B277" t="s">
        <v>567</v>
      </c>
      <c r="C277">
        <f t="shared" si="8"/>
        <v>23.798126666666668</v>
      </c>
      <c r="D277">
        <f t="shared" si="9"/>
        <v>90.421292777777779</v>
      </c>
    </row>
    <row r="278" spans="1:4" x14ac:dyDescent="0.3">
      <c r="A278" t="s">
        <v>568</v>
      </c>
      <c r="B278" t="s">
        <v>569</v>
      </c>
      <c r="C278">
        <f t="shared" si="8"/>
        <v>23.798290277777781</v>
      </c>
      <c r="D278">
        <f t="shared" si="9"/>
        <v>90.431099444444456</v>
      </c>
    </row>
    <row r="279" spans="1:4" x14ac:dyDescent="0.3">
      <c r="A279" t="s">
        <v>570</v>
      </c>
      <c r="B279" t="s">
        <v>571</v>
      </c>
      <c r="C279">
        <f t="shared" si="8"/>
        <v>23.798453333333335</v>
      </c>
      <c r="D279">
        <f t="shared" si="9"/>
        <v>90.440906111111119</v>
      </c>
    </row>
    <row r="280" spans="1:4" x14ac:dyDescent="0.3">
      <c r="A280" t="s">
        <v>572</v>
      </c>
      <c r="B280" t="s">
        <v>573</v>
      </c>
      <c r="C280">
        <f t="shared" si="8"/>
        <v>23.798615555555557</v>
      </c>
      <c r="D280">
        <f t="shared" si="9"/>
        <v>90.450712777777781</v>
      </c>
    </row>
    <row r="281" spans="1:4" x14ac:dyDescent="0.3">
      <c r="A281" t="s">
        <v>574</v>
      </c>
      <c r="B281" t="s">
        <v>575</v>
      </c>
      <c r="C281">
        <f t="shared" si="8"/>
        <v>23.7987775</v>
      </c>
      <c r="D281">
        <f t="shared" si="9"/>
        <v>90.46051972222223</v>
      </c>
    </row>
    <row r="282" spans="1:4" x14ac:dyDescent="0.3">
      <c r="A282" t="s">
        <v>576</v>
      </c>
      <c r="B282" t="s">
        <v>577</v>
      </c>
      <c r="C282">
        <f t="shared" si="8"/>
        <v>23.798938611111112</v>
      </c>
      <c r="D282">
        <f t="shared" si="9"/>
        <v>90.470326666666665</v>
      </c>
    </row>
    <row r="283" spans="1:4" x14ac:dyDescent="0.3">
      <c r="A283" t="s">
        <v>578</v>
      </c>
      <c r="B283" t="s">
        <v>579</v>
      </c>
      <c r="C283">
        <f t="shared" si="8"/>
        <v>23.799099166666668</v>
      </c>
      <c r="D283">
        <f t="shared" si="9"/>
        <v>90.480133611111114</v>
      </c>
    </row>
    <row r="284" spans="1:4" x14ac:dyDescent="0.3">
      <c r="A284" t="s">
        <v>580</v>
      </c>
      <c r="B284" t="s">
        <v>581</v>
      </c>
      <c r="C284">
        <f t="shared" si="8"/>
        <v>23.799259166666669</v>
      </c>
      <c r="D284">
        <f t="shared" si="9"/>
        <v>90.489940833333335</v>
      </c>
    </row>
    <row r="285" spans="1:4" x14ac:dyDescent="0.3">
      <c r="A285" t="s">
        <v>582</v>
      </c>
      <c r="B285" t="s">
        <v>583</v>
      </c>
      <c r="C285">
        <f t="shared" si="8"/>
        <v>23.799418611111111</v>
      </c>
      <c r="D285">
        <f t="shared" si="9"/>
        <v>90.499748055555557</v>
      </c>
    </row>
    <row r="286" spans="1:4" x14ac:dyDescent="0.3">
      <c r="A286" t="s">
        <v>584</v>
      </c>
      <c r="B286" t="s">
        <v>585</v>
      </c>
      <c r="C286">
        <f t="shared" si="8"/>
        <v>23.799577222222222</v>
      </c>
      <c r="D286">
        <f t="shared" si="9"/>
        <v>90.509555277777778</v>
      </c>
    </row>
    <row r="287" spans="1:4" x14ac:dyDescent="0.3">
      <c r="A287" t="s">
        <v>586</v>
      </c>
      <c r="B287" t="s">
        <v>587</v>
      </c>
      <c r="C287">
        <f t="shared" si="8"/>
        <v>23.805648055555555</v>
      </c>
      <c r="D287">
        <f t="shared" si="9"/>
        <v>90.332853333333333</v>
      </c>
    </row>
    <row r="288" spans="1:4" x14ac:dyDescent="0.3">
      <c r="A288" t="s">
        <v>588</v>
      </c>
      <c r="B288" t="s">
        <v>589</v>
      </c>
      <c r="C288">
        <f t="shared" si="8"/>
        <v>23.8058175</v>
      </c>
      <c r="D288">
        <f t="shared" si="9"/>
        <v>90.342659722222223</v>
      </c>
    </row>
    <row r="289" spans="1:4" x14ac:dyDescent="0.3">
      <c r="A289" t="s">
        <v>590</v>
      </c>
      <c r="B289" t="s">
        <v>591</v>
      </c>
      <c r="C289">
        <f t="shared" si="8"/>
        <v>23.80598611111111</v>
      </c>
      <c r="D289">
        <f t="shared" si="9"/>
        <v>90.352466388888885</v>
      </c>
    </row>
    <row r="290" spans="1:4" x14ac:dyDescent="0.3">
      <c r="A290" t="s">
        <v>592</v>
      </c>
      <c r="B290" t="s">
        <v>593</v>
      </c>
      <c r="C290">
        <f t="shared" si="8"/>
        <v>23.806154444444445</v>
      </c>
      <c r="D290">
        <f t="shared" si="9"/>
        <v>90.362273055555548</v>
      </c>
    </row>
    <row r="291" spans="1:4" x14ac:dyDescent="0.3">
      <c r="A291" t="s">
        <v>594</v>
      </c>
      <c r="B291" t="s">
        <v>595</v>
      </c>
      <c r="C291">
        <f t="shared" si="8"/>
        <v>23.806321944444445</v>
      </c>
      <c r="D291">
        <f t="shared" si="9"/>
        <v>90.37207972222221</v>
      </c>
    </row>
    <row r="292" spans="1:4" x14ac:dyDescent="0.3">
      <c r="A292" t="s">
        <v>596</v>
      </c>
      <c r="B292" t="s">
        <v>597</v>
      </c>
      <c r="C292">
        <f t="shared" si="8"/>
        <v>23.806488611111114</v>
      </c>
      <c r="D292">
        <f t="shared" si="9"/>
        <v>90.381886388888887</v>
      </c>
    </row>
    <row r="293" spans="1:4" x14ac:dyDescent="0.3">
      <c r="A293" t="s">
        <v>598</v>
      </c>
      <c r="B293" t="s">
        <v>599</v>
      </c>
      <c r="C293">
        <f t="shared" si="8"/>
        <v>23.806654999999999</v>
      </c>
      <c r="D293">
        <f t="shared" si="9"/>
        <v>90.391693333333336</v>
      </c>
    </row>
    <row r="294" spans="1:4" x14ac:dyDescent="0.3">
      <c r="A294" t="s">
        <v>600</v>
      </c>
      <c r="B294" t="s">
        <v>601</v>
      </c>
      <c r="C294">
        <f t="shared" si="8"/>
        <v>23.806820555555557</v>
      </c>
      <c r="D294">
        <f t="shared" si="9"/>
        <v>90.401500277777785</v>
      </c>
    </row>
    <row r="295" spans="1:4" x14ac:dyDescent="0.3">
      <c r="A295" t="s">
        <v>602</v>
      </c>
      <c r="B295" t="s">
        <v>603</v>
      </c>
      <c r="C295">
        <f t="shared" si="8"/>
        <v>23.806985555555556</v>
      </c>
      <c r="D295">
        <f t="shared" si="9"/>
        <v>90.411307500000007</v>
      </c>
    </row>
    <row r="296" spans="1:4" x14ac:dyDescent="0.3">
      <c r="A296" t="s">
        <v>604</v>
      </c>
      <c r="B296" t="s">
        <v>605</v>
      </c>
      <c r="C296">
        <f t="shared" si="8"/>
        <v>23.80715</v>
      </c>
      <c r="D296">
        <f t="shared" si="9"/>
        <v>90.421114722222228</v>
      </c>
    </row>
    <row r="297" spans="1:4" x14ac:dyDescent="0.3">
      <c r="A297" t="s">
        <v>606</v>
      </c>
      <c r="B297" t="s">
        <v>607</v>
      </c>
      <c r="C297">
        <f t="shared" si="8"/>
        <v>23.807313611111113</v>
      </c>
      <c r="D297">
        <f t="shared" si="9"/>
        <v>90.430921944444449</v>
      </c>
    </row>
    <row r="298" spans="1:4" x14ac:dyDescent="0.3">
      <c r="A298" t="s">
        <v>608</v>
      </c>
      <c r="B298" t="s">
        <v>609</v>
      </c>
      <c r="C298">
        <f t="shared" si="8"/>
        <v>23.807476666666666</v>
      </c>
      <c r="D298">
        <f t="shared" si="9"/>
        <v>90.440729166666671</v>
      </c>
    </row>
    <row r="299" spans="1:4" x14ac:dyDescent="0.3">
      <c r="A299" t="s">
        <v>610</v>
      </c>
      <c r="B299" t="s">
        <v>611</v>
      </c>
      <c r="C299">
        <f t="shared" si="8"/>
        <v>23.807639166666668</v>
      </c>
      <c r="D299">
        <f t="shared" si="9"/>
        <v>90.450536666666665</v>
      </c>
    </row>
    <row r="300" spans="1:4" x14ac:dyDescent="0.3">
      <c r="A300" t="s">
        <v>612</v>
      </c>
      <c r="B300" t="s">
        <v>613</v>
      </c>
      <c r="C300">
        <f t="shared" si="8"/>
        <v>23.807801111111111</v>
      </c>
      <c r="D300">
        <f t="shared" si="9"/>
        <v>90.460344166666673</v>
      </c>
    </row>
    <row r="301" spans="1:4" x14ac:dyDescent="0.3">
      <c r="A301" t="s">
        <v>614</v>
      </c>
      <c r="B301" t="s">
        <v>615</v>
      </c>
      <c r="C301">
        <f t="shared" si="8"/>
        <v>23.807962222222223</v>
      </c>
      <c r="D301">
        <f t="shared" si="9"/>
        <v>90.470151666666666</v>
      </c>
    </row>
    <row r="302" spans="1:4" x14ac:dyDescent="0.3">
      <c r="A302" t="s">
        <v>616</v>
      </c>
      <c r="B302" t="s">
        <v>617</v>
      </c>
      <c r="C302">
        <f t="shared" si="8"/>
        <v>23.808123055555555</v>
      </c>
      <c r="D302">
        <f t="shared" si="9"/>
        <v>90.479959444444447</v>
      </c>
    </row>
    <row r="303" spans="1:4" x14ac:dyDescent="0.3">
      <c r="A303" t="s">
        <v>618</v>
      </c>
      <c r="B303" t="s">
        <v>619</v>
      </c>
      <c r="C303">
        <f t="shared" si="8"/>
        <v>23.808283055555556</v>
      </c>
      <c r="D303">
        <f t="shared" si="9"/>
        <v>90.489767222222227</v>
      </c>
    </row>
    <row r="304" spans="1:4" x14ac:dyDescent="0.3">
      <c r="A304" t="s">
        <v>620</v>
      </c>
      <c r="B304" t="s">
        <v>621</v>
      </c>
      <c r="C304">
        <f t="shared" si="8"/>
        <v>23.808442500000002</v>
      </c>
      <c r="D304">
        <f t="shared" si="9"/>
        <v>90.499575000000007</v>
      </c>
    </row>
    <row r="305" spans="1:4" x14ac:dyDescent="0.3">
      <c r="A305" t="s">
        <v>622</v>
      </c>
      <c r="B305" t="s">
        <v>623</v>
      </c>
      <c r="C305">
        <f t="shared" si="8"/>
        <v>23.808601111111113</v>
      </c>
      <c r="D305">
        <f t="shared" si="9"/>
        <v>90.50938305555556</v>
      </c>
    </row>
    <row r="306" spans="1:4" x14ac:dyDescent="0.3">
      <c r="A306" t="s">
        <v>624</v>
      </c>
      <c r="B306" t="s">
        <v>625</v>
      </c>
      <c r="C306">
        <f t="shared" si="8"/>
        <v>23.814670833333334</v>
      </c>
      <c r="D306">
        <f t="shared" si="9"/>
        <v>90.33266888888889</v>
      </c>
    </row>
    <row r="307" spans="1:4" x14ac:dyDescent="0.3">
      <c r="A307" t="s">
        <v>626</v>
      </c>
      <c r="B307" t="s">
        <v>627</v>
      </c>
      <c r="C307">
        <f t="shared" si="8"/>
        <v>23.81484027777778</v>
      </c>
      <c r="D307">
        <f t="shared" si="9"/>
        <v>90.342476111111111</v>
      </c>
    </row>
    <row r="308" spans="1:4" x14ac:dyDescent="0.3">
      <c r="A308" t="s">
        <v>628</v>
      </c>
      <c r="B308" t="s">
        <v>629</v>
      </c>
      <c r="C308">
        <f t="shared" si="8"/>
        <v>23.815009166666666</v>
      </c>
      <c r="D308">
        <f t="shared" si="9"/>
        <v>90.352283333333332</v>
      </c>
    </row>
    <row r="309" spans="1:4" x14ac:dyDescent="0.3">
      <c r="A309" t="s">
        <v>630</v>
      </c>
      <c r="B309" t="s">
        <v>631</v>
      </c>
      <c r="C309">
        <f t="shared" si="8"/>
        <v>23.815177222222221</v>
      </c>
      <c r="D309">
        <f t="shared" si="9"/>
        <v>90.362090555555554</v>
      </c>
    </row>
    <row r="310" spans="1:4" x14ac:dyDescent="0.3">
      <c r="A310" t="s">
        <v>632</v>
      </c>
      <c r="B310" t="s">
        <v>633</v>
      </c>
      <c r="C310">
        <f t="shared" si="8"/>
        <v>23.815344722222221</v>
      </c>
      <c r="D310">
        <f t="shared" si="9"/>
        <v>90.371898055555548</v>
      </c>
    </row>
    <row r="311" spans="1:4" x14ac:dyDescent="0.3">
      <c r="A311" t="s">
        <v>634</v>
      </c>
      <c r="B311" t="s">
        <v>635</v>
      </c>
      <c r="C311">
        <f t="shared" si="8"/>
        <v>23.815511666666666</v>
      </c>
      <c r="D311">
        <f t="shared" si="9"/>
        <v>90.381705555555556</v>
      </c>
    </row>
    <row r="312" spans="1:4" x14ac:dyDescent="0.3">
      <c r="A312" t="s">
        <v>636</v>
      </c>
      <c r="B312" t="s">
        <v>637</v>
      </c>
      <c r="C312">
        <f t="shared" si="8"/>
        <v>23.815678055555555</v>
      </c>
      <c r="D312">
        <f t="shared" si="9"/>
        <v>90.391513055555563</v>
      </c>
    </row>
    <row r="313" spans="1:4" x14ac:dyDescent="0.3">
      <c r="A313" t="s">
        <v>638</v>
      </c>
      <c r="B313" t="s">
        <v>639</v>
      </c>
      <c r="C313">
        <f t="shared" si="8"/>
        <v>23.815843611111113</v>
      </c>
      <c r="D313">
        <f t="shared" si="9"/>
        <v>90.401320555555557</v>
      </c>
    </row>
    <row r="314" spans="1:4" x14ac:dyDescent="0.3">
      <c r="A314" t="s">
        <v>640</v>
      </c>
      <c r="B314" t="s">
        <v>641</v>
      </c>
      <c r="C314">
        <f t="shared" si="8"/>
        <v>23.816008611111112</v>
      </c>
      <c r="D314">
        <f t="shared" si="9"/>
        <v>90.411128333333338</v>
      </c>
    </row>
    <row r="315" spans="1:4" x14ac:dyDescent="0.3">
      <c r="A315" t="s">
        <v>642</v>
      </c>
      <c r="B315" t="s">
        <v>643</v>
      </c>
      <c r="C315">
        <f t="shared" si="8"/>
        <v>23.816173055555556</v>
      </c>
      <c r="D315">
        <f t="shared" si="9"/>
        <v>90.42093638888889</v>
      </c>
    </row>
    <row r="316" spans="1:4" x14ac:dyDescent="0.3">
      <c r="A316" t="s">
        <v>644</v>
      </c>
      <c r="B316" t="s">
        <v>645</v>
      </c>
      <c r="C316">
        <f t="shared" si="8"/>
        <v>23.816336944444444</v>
      </c>
      <c r="D316">
        <f t="shared" si="9"/>
        <v>90.43074416666667</v>
      </c>
    </row>
    <row r="317" spans="1:4" x14ac:dyDescent="0.3">
      <c r="A317" t="s">
        <v>646</v>
      </c>
      <c r="B317" t="s">
        <v>647</v>
      </c>
      <c r="C317">
        <f t="shared" si="8"/>
        <v>23.816500277777777</v>
      </c>
      <c r="D317">
        <f t="shared" si="9"/>
        <v>90.440552222222223</v>
      </c>
    </row>
    <row r="318" spans="1:4" x14ac:dyDescent="0.3">
      <c r="A318" t="s">
        <v>648</v>
      </c>
      <c r="B318" t="s">
        <v>649</v>
      </c>
      <c r="C318">
        <f t="shared" si="8"/>
        <v>23.816662777777779</v>
      </c>
      <c r="D318">
        <f t="shared" si="9"/>
        <v>90.450360277777776</v>
      </c>
    </row>
    <row r="319" spans="1:4" x14ac:dyDescent="0.3">
      <c r="A319" t="s">
        <v>650</v>
      </c>
      <c r="B319" t="s">
        <v>651</v>
      </c>
      <c r="C319">
        <f t="shared" si="8"/>
        <v>23.816824722222222</v>
      </c>
      <c r="D319">
        <f t="shared" si="9"/>
        <v>90.460168611111115</v>
      </c>
    </row>
    <row r="320" spans="1:4" x14ac:dyDescent="0.3">
      <c r="A320" t="s">
        <v>652</v>
      </c>
      <c r="B320" t="s">
        <v>653</v>
      </c>
      <c r="C320">
        <f t="shared" si="8"/>
        <v>23.81698611111111</v>
      </c>
      <c r="D320">
        <f t="shared" si="9"/>
        <v>90.469976666666668</v>
      </c>
    </row>
    <row r="321" spans="1:4" x14ac:dyDescent="0.3">
      <c r="A321" t="s">
        <v>654</v>
      </c>
      <c r="B321" t="s">
        <v>655</v>
      </c>
      <c r="C321">
        <f t="shared" si="8"/>
        <v>23.817146666666666</v>
      </c>
      <c r="D321">
        <f t="shared" si="9"/>
        <v>90.479785000000007</v>
      </c>
    </row>
    <row r="322" spans="1:4" x14ac:dyDescent="0.3">
      <c r="A322" t="s">
        <v>656</v>
      </c>
      <c r="B322" t="s">
        <v>657</v>
      </c>
      <c r="C322">
        <f t="shared" si="8"/>
        <v>23.817306666666667</v>
      </c>
      <c r="D322">
        <f t="shared" si="9"/>
        <v>90.489593611111118</v>
      </c>
    </row>
    <row r="323" spans="1:4" x14ac:dyDescent="0.3">
      <c r="A323" t="s">
        <v>658</v>
      </c>
      <c r="B323" t="s">
        <v>659</v>
      </c>
      <c r="C323">
        <f t="shared" ref="C323:C386" si="10">DecimalDegreesConverter(A323,,,,TRUE)</f>
        <v>23.817466388888889</v>
      </c>
      <c r="D323">
        <f t="shared" ref="D323:D386" si="11">DecimalDegreesConverter(B323,,,,TRUE)</f>
        <v>90.49940222222223</v>
      </c>
    </row>
    <row r="324" spans="1:4" x14ac:dyDescent="0.3">
      <c r="A324" t="s">
        <v>660</v>
      </c>
      <c r="B324" t="s">
        <v>661</v>
      </c>
      <c r="C324">
        <f t="shared" si="10"/>
        <v>23.817625</v>
      </c>
      <c r="D324">
        <f t="shared" si="11"/>
        <v>90.509210833333327</v>
      </c>
    </row>
    <row r="325" spans="1:4" x14ac:dyDescent="0.3">
      <c r="A325" t="s">
        <v>662</v>
      </c>
      <c r="B325" t="s">
        <v>663</v>
      </c>
      <c r="C325">
        <f t="shared" si="10"/>
        <v>23.823693611111111</v>
      </c>
      <c r="D325">
        <f t="shared" si="11"/>
        <v>90.332484444444447</v>
      </c>
    </row>
    <row r="326" spans="1:4" x14ac:dyDescent="0.3">
      <c r="A326" t="s">
        <v>664</v>
      </c>
      <c r="B326" t="s">
        <v>665</v>
      </c>
      <c r="C326">
        <f t="shared" si="10"/>
        <v>23.823863055555556</v>
      </c>
      <c r="D326">
        <f t="shared" si="11"/>
        <v>90.342292222222213</v>
      </c>
    </row>
    <row r="327" spans="1:4" x14ac:dyDescent="0.3">
      <c r="A327" t="s">
        <v>666</v>
      </c>
      <c r="B327" t="s">
        <v>667</v>
      </c>
      <c r="C327">
        <f t="shared" si="10"/>
        <v>23.824031944444446</v>
      </c>
      <c r="D327">
        <f t="shared" si="11"/>
        <v>90.352099999999993</v>
      </c>
    </row>
    <row r="328" spans="1:4" x14ac:dyDescent="0.3">
      <c r="A328" t="s">
        <v>668</v>
      </c>
      <c r="B328" t="s">
        <v>669</v>
      </c>
      <c r="C328">
        <f t="shared" si="10"/>
        <v>23.824200000000001</v>
      </c>
      <c r="D328">
        <f t="shared" si="11"/>
        <v>90.361908055555546</v>
      </c>
    </row>
    <row r="329" spans="1:4" x14ac:dyDescent="0.3">
      <c r="A329" t="s">
        <v>670</v>
      </c>
      <c r="B329" t="s">
        <v>671</v>
      </c>
      <c r="C329">
        <f t="shared" si="10"/>
        <v>23.824367777777777</v>
      </c>
      <c r="D329">
        <f t="shared" si="11"/>
        <v>90.371716111111098</v>
      </c>
    </row>
    <row r="330" spans="1:4" x14ac:dyDescent="0.3">
      <c r="A330" t="s">
        <v>672</v>
      </c>
      <c r="B330" t="s">
        <v>673</v>
      </c>
      <c r="C330">
        <f t="shared" si="10"/>
        <v>23.824534722222221</v>
      </c>
      <c r="D330">
        <f t="shared" si="11"/>
        <v>90.381524166666665</v>
      </c>
    </row>
    <row r="331" spans="1:4" x14ac:dyDescent="0.3">
      <c r="A331" t="s">
        <v>674</v>
      </c>
      <c r="B331" t="s">
        <v>675</v>
      </c>
      <c r="C331">
        <f t="shared" si="10"/>
        <v>23.824701111111111</v>
      </c>
      <c r="D331">
        <f t="shared" si="11"/>
        <v>90.391332500000004</v>
      </c>
    </row>
    <row r="332" spans="1:4" x14ac:dyDescent="0.3">
      <c r="A332" t="s">
        <v>676</v>
      </c>
      <c r="B332" t="s">
        <v>677</v>
      </c>
      <c r="C332">
        <f t="shared" si="10"/>
        <v>23.824866944444445</v>
      </c>
      <c r="D332">
        <f t="shared" si="11"/>
        <v>90.401140833333343</v>
      </c>
    </row>
    <row r="333" spans="1:4" x14ac:dyDescent="0.3">
      <c r="A333" t="s">
        <v>678</v>
      </c>
      <c r="B333" t="s">
        <v>679</v>
      </c>
      <c r="C333">
        <f t="shared" si="10"/>
        <v>23.825031944444444</v>
      </c>
      <c r="D333">
        <f t="shared" si="11"/>
        <v>90.410949166666668</v>
      </c>
    </row>
    <row r="334" spans="1:4" x14ac:dyDescent="0.3">
      <c r="A334" t="s">
        <v>680</v>
      </c>
      <c r="B334" t="s">
        <v>681</v>
      </c>
      <c r="C334">
        <f t="shared" si="10"/>
        <v>23.825196388888887</v>
      </c>
      <c r="D334">
        <f t="shared" si="11"/>
        <v>90.42075777777778</v>
      </c>
    </row>
    <row r="335" spans="1:4" x14ac:dyDescent="0.3">
      <c r="A335" t="s">
        <v>682</v>
      </c>
      <c r="B335" t="s">
        <v>683</v>
      </c>
      <c r="C335">
        <f t="shared" si="10"/>
        <v>23.825360277777779</v>
      </c>
      <c r="D335">
        <f t="shared" si="11"/>
        <v>90.430566388888892</v>
      </c>
    </row>
    <row r="336" spans="1:4" x14ac:dyDescent="0.3">
      <c r="A336" t="s">
        <v>684</v>
      </c>
      <c r="B336" t="s">
        <v>685</v>
      </c>
      <c r="C336">
        <f t="shared" si="10"/>
        <v>23.825523611111112</v>
      </c>
      <c r="D336">
        <f t="shared" si="11"/>
        <v>90.440375000000003</v>
      </c>
    </row>
    <row r="337" spans="1:4" x14ac:dyDescent="0.3">
      <c r="A337" t="s">
        <v>686</v>
      </c>
      <c r="B337" t="s">
        <v>687</v>
      </c>
      <c r="C337">
        <f t="shared" si="10"/>
        <v>23.82568638888889</v>
      </c>
      <c r="D337">
        <f t="shared" si="11"/>
        <v>90.450183888888887</v>
      </c>
    </row>
    <row r="338" spans="1:4" x14ac:dyDescent="0.3">
      <c r="A338" t="s">
        <v>688</v>
      </c>
      <c r="B338" t="s">
        <v>689</v>
      </c>
      <c r="C338">
        <f t="shared" si="10"/>
        <v>23.825848333333333</v>
      </c>
      <c r="D338">
        <f t="shared" si="11"/>
        <v>90.459992777777785</v>
      </c>
    </row>
    <row r="339" spans="1:4" x14ac:dyDescent="0.3">
      <c r="A339" t="s">
        <v>690</v>
      </c>
      <c r="B339" t="s">
        <v>691</v>
      </c>
      <c r="C339">
        <f t="shared" si="10"/>
        <v>23.826009722222221</v>
      </c>
      <c r="D339">
        <f t="shared" si="11"/>
        <v>90.469801666666669</v>
      </c>
    </row>
    <row r="340" spans="1:4" x14ac:dyDescent="0.3">
      <c r="A340" t="s">
        <v>692</v>
      </c>
      <c r="B340" t="s">
        <v>693</v>
      </c>
      <c r="C340">
        <f t="shared" si="10"/>
        <v>23.826170555555557</v>
      </c>
      <c r="D340">
        <f t="shared" si="11"/>
        <v>90.479610833333339</v>
      </c>
    </row>
    <row r="341" spans="1:4" x14ac:dyDescent="0.3">
      <c r="A341" t="s">
        <v>694</v>
      </c>
      <c r="B341" t="s">
        <v>695</v>
      </c>
      <c r="C341">
        <f t="shared" si="10"/>
        <v>23.826330555555554</v>
      </c>
      <c r="D341">
        <f t="shared" si="11"/>
        <v>90.489419999999996</v>
      </c>
    </row>
    <row r="342" spans="1:4" x14ac:dyDescent="0.3">
      <c r="A342" t="s">
        <v>696</v>
      </c>
      <c r="B342" t="s">
        <v>697</v>
      </c>
      <c r="C342">
        <f t="shared" si="10"/>
        <v>23.82649</v>
      </c>
      <c r="D342">
        <f t="shared" si="11"/>
        <v>90.499229166666666</v>
      </c>
    </row>
    <row r="343" spans="1:4" x14ac:dyDescent="0.3">
      <c r="A343" t="s">
        <v>698</v>
      </c>
      <c r="B343" t="s">
        <v>699</v>
      </c>
      <c r="C343">
        <f t="shared" si="10"/>
        <v>23.82664888888889</v>
      </c>
      <c r="D343">
        <f t="shared" si="11"/>
        <v>90.509038333333336</v>
      </c>
    </row>
    <row r="344" spans="1:4" x14ac:dyDescent="0.3">
      <c r="A344" t="s">
        <v>700</v>
      </c>
      <c r="B344" t="s">
        <v>701</v>
      </c>
      <c r="C344">
        <f t="shared" si="10"/>
        <v>23.832716111111111</v>
      </c>
      <c r="D344">
        <f t="shared" si="11"/>
        <v>90.332299722222217</v>
      </c>
    </row>
    <row r="345" spans="1:4" x14ac:dyDescent="0.3">
      <c r="A345" t="s">
        <v>702</v>
      </c>
      <c r="B345" t="s">
        <v>703</v>
      </c>
      <c r="C345">
        <f t="shared" si="10"/>
        <v>23.832885833333332</v>
      </c>
      <c r="D345">
        <f t="shared" si="11"/>
        <v>90.342108333333329</v>
      </c>
    </row>
    <row r="346" spans="1:4" x14ac:dyDescent="0.3">
      <c r="A346" t="s">
        <v>704</v>
      </c>
      <c r="B346" t="s">
        <v>705</v>
      </c>
      <c r="C346">
        <f t="shared" si="10"/>
        <v>23.833054722222222</v>
      </c>
      <c r="D346">
        <f t="shared" si="11"/>
        <v>90.35191694444444</v>
      </c>
    </row>
    <row r="347" spans="1:4" x14ac:dyDescent="0.3">
      <c r="A347" t="s">
        <v>706</v>
      </c>
      <c r="B347" t="s">
        <v>707</v>
      </c>
      <c r="C347">
        <f t="shared" si="10"/>
        <v>23.833223055555557</v>
      </c>
      <c r="D347">
        <f t="shared" si="11"/>
        <v>90.361725555555552</v>
      </c>
    </row>
    <row r="348" spans="1:4" x14ac:dyDescent="0.3">
      <c r="A348" t="s">
        <v>708</v>
      </c>
      <c r="B348" t="s">
        <v>709</v>
      </c>
      <c r="C348">
        <f t="shared" si="10"/>
        <v>23.833390555555553</v>
      </c>
      <c r="D348">
        <f t="shared" si="11"/>
        <v>90.371534166666663</v>
      </c>
    </row>
    <row r="349" spans="1:4" x14ac:dyDescent="0.3">
      <c r="A349" t="s">
        <v>710</v>
      </c>
      <c r="B349" t="s">
        <v>711</v>
      </c>
      <c r="C349">
        <f t="shared" si="10"/>
        <v>23.833557777777777</v>
      </c>
      <c r="D349">
        <f t="shared" si="11"/>
        <v>90.381343055555547</v>
      </c>
    </row>
    <row r="350" spans="1:4" x14ac:dyDescent="0.3">
      <c r="A350" t="s">
        <v>712</v>
      </c>
      <c r="B350" t="s">
        <v>713</v>
      </c>
      <c r="C350">
        <f t="shared" si="10"/>
        <v>23.833724166666666</v>
      </c>
      <c r="D350">
        <f t="shared" si="11"/>
        <v>90.391151944444445</v>
      </c>
    </row>
    <row r="351" spans="1:4" x14ac:dyDescent="0.3">
      <c r="A351" t="s">
        <v>714</v>
      </c>
      <c r="B351" t="s">
        <v>715</v>
      </c>
      <c r="C351">
        <f t="shared" si="10"/>
        <v>23.83389</v>
      </c>
      <c r="D351">
        <f t="shared" si="11"/>
        <v>90.400961111111116</v>
      </c>
    </row>
    <row r="352" spans="1:4" x14ac:dyDescent="0.3">
      <c r="A352" t="s">
        <v>716</v>
      </c>
      <c r="B352" t="s">
        <v>717</v>
      </c>
      <c r="C352">
        <f t="shared" si="10"/>
        <v>23.834055277777775</v>
      </c>
      <c r="D352">
        <f t="shared" si="11"/>
        <v>90.410769999999999</v>
      </c>
    </row>
    <row r="353" spans="1:4" x14ac:dyDescent="0.3">
      <c r="A353" t="s">
        <v>718</v>
      </c>
      <c r="B353" t="s">
        <v>719</v>
      </c>
      <c r="C353">
        <f t="shared" si="10"/>
        <v>23.834219722222223</v>
      </c>
      <c r="D353">
        <f t="shared" si="11"/>
        <v>90.42057916666667</v>
      </c>
    </row>
    <row r="354" spans="1:4" x14ac:dyDescent="0.3">
      <c r="A354" t="s">
        <v>720</v>
      </c>
      <c r="B354" t="s">
        <v>721</v>
      </c>
      <c r="C354">
        <f t="shared" si="10"/>
        <v>23.834383611111111</v>
      </c>
      <c r="D354">
        <f t="shared" si="11"/>
        <v>90.430388611111113</v>
      </c>
    </row>
    <row r="355" spans="1:4" x14ac:dyDescent="0.3">
      <c r="A355" t="s">
        <v>722</v>
      </c>
      <c r="B355" t="s">
        <v>723</v>
      </c>
      <c r="C355">
        <f t="shared" si="10"/>
        <v>23.834546944444444</v>
      </c>
      <c r="D355">
        <f t="shared" si="11"/>
        <v>90.440198055555555</v>
      </c>
    </row>
    <row r="356" spans="1:4" x14ac:dyDescent="0.3">
      <c r="A356" t="s">
        <v>724</v>
      </c>
      <c r="B356" t="s">
        <v>725</v>
      </c>
      <c r="C356">
        <f t="shared" si="10"/>
        <v>23.834709722222222</v>
      </c>
      <c r="D356">
        <f t="shared" si="11"/>
        <v>90.450007499999998</v>
      </c>
    </row>
    <row r="357" spans="1:4" x14ac:dyDescent="0.3">
      <c r="A357" t="s">
        <v>726</v>
      </c>
      <c r="B357" t="s">
        <v>727</v>
      </c>
      <c r="C357">
        <f t="shared" si="10"/>
        <v>23.834871944444444</v>
      </c>
      <c r="D357">
        <f t="shared" si="11"/>
        <v>90.459816944444441</v>
      </c>
    </row>
    <row r="358" spans="1:4" x14ac:dyDescent="0.3">
      <c r="A358" t="s">
        <v>728</v>
      </c>
      <c r="B358" t="s">
        <v>729</v>
      </c>
      <c r="C358">
        <f t="shared" si="10"/>
        <v>23.835033333333332</v>
      </c>
      <c r="D358">
        <f t="shared" si="11"/>
        <v>90.46962666666667</v>
      </c>
    </row>
    <row r="359" spans="1:4" x14ac:dyDescent="0.3">
      <c r="A359" t="s">
        <v>730</v>
      </c>
      <c r="B359" t="s">
        <v>731</v>
      </c>
      <c r="C359">
        <f t="shared" si="10"/>
        <v>23.835194166666664</v>
      </c>
      <c r="D359">
        <f t="shared" si="11"/>
        <v>90.479436388888885</v>
      </c>
    </row>
    <row r="360" spans="1:4" x14ac:dyDescent="0.3">
      <c r="A360" t="s">
        <v>732</v>
      </c>
      <c r="B360" t="s">
        <v>733</v>
      </c>
      <c r="C360">
        <f t="shared" si="10"/>
        <v>23.835354444444445</v>
      </c>
      <c r="D360">
        <f t="shared" si="11"/>
        <v>90.489246111111115</v>
      </c>
    </row>
    <row r="361" spans="1:4" x14ac:dyDescent="0.3">
      <c r="A361" t="s">
        <v>734</v>
      </c>
      <c r="B361" t="s">
        <v>735</v>
      </c>
      <c r="C361">
        <f t="shared" si="10"/>
        <v>23.835513888888887</v>
      </c>
      <c r="D361">
        <f t="shared" si="11"/>
        <v>90.499056111111116</v>
      </c>
    </row>
    <row r="362" spans="1:4" x14ac:dyDescent="0.3">
      <c r="A362" t="s">
        <v>736</v>
      </c>
      <c r="B362" t="s">
        <v>737</v>
      </c>
      <c r="C362">
        <f t="shared" si="10"/>
        <v>23.835672777777777</v>
      </c>
      <c r="D362">
        <f t="shared" si="11"/>
        <v>90.508865833333331</v>
      </c>
    </row>
    <row r="363" spans="1:4" x14ac:dyDescent="0.3">
      <c r="A363" t="s">
        <v>738</v>
      </c>
      <c r="B363" t="s">
        <v>739</v>
      </c>
      <c r="C363">
        <f t="shared" si="10"/>
        <v>23.841738888888887</v>
      </c>
      <c r="D363">
        <f t="shared" si="11"/>
        <v>90.332115000000002</v>
      </c>
    </row>
    <row r="364" spans="1:4" x14ac:dyDescent="0.3">
      <c r="A364" t="s">
        <v>740</v>
      </c>
      <c r="B364" t="s">
        <v>741</v>
      </c>
      <c r="C364">
        <f t="shared" si="10"/>
        <v>23.841908333333333</v>
      </c>
      <c r="D364">
        <f t="shared" si="11"/>
        <v>90.341924166666658</v>
      </c>
    </row>
    <row r="365" spans="1:4" x14ac:dyDescent="0.3">
      <c r="A365" t="s">
        <v>742</v>
      </c>
      <c r="B365" t="s">
        <v>743</v>
      </c>
      <c r="C365">
        <f t="shared" si="10"/>
        <v>23.842077499999998</v>
      </c>
      <c r="D365">
        <f t="shared" si="11"/>
        <v>90.351733333333328</v>
      </c>
    </row>
    <row r="366" spans="1:4" x14ac:dyDescent="0.3">
      <c r="A366" t="s">
        <v>744</v>
      </c>
      <c r="B366" t="s">
        <v>745</v>
      </c>
      <c r="C366">
        <f t="shared" si="10"/>
        <v>23.842245833333333</v>
      </c>
      <c r="D366">
        <f t="shared" si="11"/>
        <v>90.361542777777771</v>
      </c>
    </row>
    <row r="367" spans="1:4" x14ac:dyDescent="0.3">
      <c r="A367" t="s">
        <v>746</v>
      </c>
      <c r="B367" t="s">
        <v>747</v>
      </c>
      <c r="C367">
        <f t="shared" si="10"/>
        <v>23.842413611111109</v>
      </c>
      <c r="D367">
        <f t="shared" si="11"/>
        <v>90.371352222222214</v>
      </c>
    </row>
    <row r="368" spans="1:4" x14ac:dyDescent="0.3">
      <c r="A368" t="s">
        <v>748</v>
      </c>
      <c r="B368" t="s">
        <v>749</v>
      </c>
      <c r="C368">
        <f t="shared" si="10"/>
        <v>23.842580833333333</v>
      </c>
      <c r="D368">
        <f t="shared" si="11"/>
        <v>90.381161666666657</v>
      </c>
    </row>
    <row r="369" spans="1:4" x14ac:dyDescent="0.3">
      <c r="A369" t="s">
        <v>750</v>
      </c>
      <c r="B369" t="s">
        <v>751</v>
      </c>
      <c r="C369">
        <f t="shared" si="10"/>
        <v>23.842747222222222</v>
      </c>
      <c r="D369">
        <f t="shared" si="11"/>
        <v>90.3909713888889</v>
      </c>
    </row>
    <row r="370" spans="1:4" x14ac:dyDescent="0.3">
      <c r="A370" t="s">
        <v>752</v>
      </c>
      <c r="B370" t="s">
        <v>753</v>
      </c>
      <c r="C370">
        <f t="shared" si="10"/>
        <v>23.842913055555556</v>
      </c>
      <c r="D370">
        <f t="shared" si="11"/>
        <v>90.400781111111115</v>
      </c>
    </row>
    <row r="371" spans="1:4" x14ac:dyDescent="0.3">
      <c r="A371" t="s">
        <v>754</v>
      </c>
      <c r="B371" t="s">
        <v>755</v>
      </c>
      <c r="C371">
        <f t="shared" si="10"/>
        <v>23.843078333333331</v>
      </c>
      <c r="D371">
        <f t="shared" si="11"/>
        <v>90.410590833333345</v>
      </c>
    </row>
    <row r="372" spans="1:4" x14ac:dyDescent="0.3">
      <c r="A372" t="s">
        <v>756</v>
      </c>
      <c r="B372" t="s">
        <v>757</v>
      </c>
      <c r="C372">
        <f t="shared" si="10"/>
        <v>23.843243055555554</v>
      </c>
      <c r="D372">
        <f t="shared" si="11"/>
        <v>90.42040055555556</v>
      </c>
    </row>
    <row r="373" spans="1:4" x14ac:dyDescent="0.3">
      <c r="A373" t="s">
        <v>758</v>
      </c>
      <c r="B373" t="s">
        <v>759</v>
      </c>
      <c r="C373">
        <f t="shared" si="10"/>
        <v>23.843407222222222</v>
      </c>
      <c r="D373">
        <f t="shared" si="11"/>
        <v>90.430210555555561</v>
      </c>
    </row>
    <row r="374" spans="1:4" x14ac:dyDescent="0.3">
      <c r="A374" t="s">
        <v>760</v>
      </c>
      <c r="B374" t="s">
        <v>761</v>
      </c>
      <c r="C374">
        <f t="shared" si="10"/>
        <v>23.843570555555555</v>
      </c>
      <c r="D374">
        <f t="shared" si="11"/>
        <v>90.440020555555563</v>
      </c>
    </row>
    <row r="375" spans="1:4" x14ac:dyDescent="0.3">
      <c r="A375" t="s">
        <v>762</v>
      </c>
      <c r="B375" t="s">
        <v>763</v>
      </c>
      <c r="C375">
        <f t="shared" si="10"/>
        <v>23.843733333333333</v>
      </c>
      <c r="D375">
        <f t="shared" si="11"/>
        <v>90.449830833333337</v>
      </c>
    </row>
    <row r="376" spans="1:4" x14ac:dyDescent="0.3">
      <c r="A376" t="s">
        <v>764</v>
      </c>
      <c r="B376" t="s">
        <v>765</v>
      </c>
      <c r="C376">
        <f t="shared" si="10"/>
        <v>23.843895277777776</v>
      </c>
      <c r="D376">
        <f t="shared" si="11"/>
        <v>90.459641111111111</v>
      </c>
    </row>
    <row r="377" spans="1:4" x14ac:dyDescent="0.3">
      <c r="A377" t="s">
        <v>766</v>
      </c>
      <c r="B377" t="s">
        <v>767</v>
      </c>
      <c r="C377">
        <f t="shared" si="10"/>
        <v>23.844056944444443</v>
      </c>
      <c r="D377">
        <f t="shared" si="11"/>
        <v>90.469451388888885</v>
      </c>
    </row>
    <row r="378" spans="1:4" x14ac:dyDescent="0.3">
      <c r="A378" t="s">
        <v>768</v>
      </c>
      <c r="B378" t="s">
        <v>769</v>
      </c>
      <c r="C378">
        <f t="shared" si="10"/>
        <v>23.844217777777775</v>
      </c>
      <c r="D378">
        <f t="shared" si="11"/>
        <v>90.479261666666673</v>
      </c>
    </row>
    <row r="379" spans="1:4" x14ac:dyDescent="0.3">
      <c r="A379" t="s">
        <v>770</v>
      </c>
      <c r="B379" t="s">
        <v>771</v>
      </c>
      <c r="C379">
        <f t="shared" si="10"/>
        <v>23.844378055555556</v>
      </c>
      <c r="D379">
        <f t="shared" si="11"/>
        <v>90.489072222222219</v>
      </c>
    </row>
    <row r="380" spans="1:4" x14ac:dyDescent="0.3">
      <c r="A380" t="s">
        <v>772</v>
      </c>
      <c r="B380" t="s">
        <v>773</v>
      </c>
      <c r="C380">
        <f t="shared" si="10"/>
        <v>23.844537777777777</v>
      </c>
      <c r="D380">
        <f t="shared" si="11"/>
        <v>90.49888277777778</v>
      </c>
    </row>
    <row r="381" spans="1:4" x14ac:dyDescent="0.3">
      <c r="A381" t="s">
        <v>774</v>
      </c>
      <c r="B381" t="s">
        <v>775</v>
      </c>
      <c r="C381">
        <f t="shared" si="10"/>
        <v>23.844696944444443</v>
      </c>
      <c r="D381">
        <f t="shared" si="11"/>
        <v>90.508693333333326</v>
      </c>
    </row>
    <row r="382" spans="1:4" x14ac:dyDescent="0.3">
      <c r="A382" t="s">
        <v>776</v>
      </c>
      <c r="B382" t="s">
        <v>777</v>
      </c>
      <c r="C382">
        <f t="shared" si="10"/>
        <v>23.850761388888891</v>
      </c>
      <c r="D382">
        <f t="shared" si="11"/>
        <v>90.331930277777772</v>
      </c>
    </row>
    <row r="383" spans="1:4" x14ac:dyDescent="0.3">
      <c r="A383" t="s">
        <v>778</v>
      </c>
      <c r="B383" t="s">
        <v>779</v>
      </c>
      <c r="C383">
        <f t="shared" si="10"/>
        <v>23.850931111111112</v>
      </c>
      <c r="D383">
        <f t="shared" si="11"/>
        <v>90.341740000000001</v>
      </c>
    </row>
    <row r="384" spans="1:4" x14ac:dyDescent="0.3">
      <c r="A384" t="s">
        <v>780</v>
      </c>
      <c r="B384" t="s">
        <v>781</v>
      </c>
      <c r="C384">
        <f t="shared" si="10"/>
        <v>23.851100277777778</v>
      </c>
      <c r="D384">
        <f t="shared" si="11"/>
        <v>90.351549999999989</v>
      </c>
    </row>
    <row r="385" spans="1:4" x14ac:dyDescent="0.3">
      <c r="A385" t="s">
        <v>782</v>
      </c>
      <c r="B385" t="s">
        <v>783</v>
      </c>
      <c r="C385">
        <f t="shared" si="10"/>
        <v>23.851268611111113</v>
      </c>
      <c r="D385">
        <f t="shared" si="11"/>
        <v>90.361359999999991</v>
      </c>
    </row>
    <row r="386" spans="1:4" x14ac:dyDescent="0.3">
      <c r="A386" t="s">
        <v>784</v>
      </c>
      <c r="B386" t="s">
        <v>785</v>
      </c>
      <c r="C386">
        <f t="shared" si="10"/>
        <v>23.851436388888889</v>
      </c>
      <c r="D386">
        <f t="shared" si="11"/>
        <v>90.371169999999992</v>
      </c>
    </row>
    <row r="387" spans="1:4" x14ac:dyDescent="0.3">
      <c r="A387" t="s">
        <v>786</v>
      </c>
      <c r="B387" t="s">
        <v>787</v>
      </c>
      <c r="C387">
        <f t="shared" ref="C387:C450" si="12">DecimalDegreesConverter(A387,,,,TRUE)</f>
        <v>23.851603611111113</v>
      </c>
      <c r="D387">
        <f t="shared" ref="D387:D450" si="13">DecimalDegreesConverter(B387,,,,TRUE)</f>
        <v>90.380980277777766</v>
      </c>
    </row>
    <row r="388" spans="1:4" x14ac:dyDescent="0.3">
      <c r="A388" t="s">
        <v>788</v>
      </c>
      <c r="B388" t="s">
        <v>789</v>
      </c>
      <c r="C388">
        <f t="shared" si="12"/>
        <v>23.851770277777778</v>
      </c>
      <c r="D388">
        <f t="shared" si="13"/>
        <v>90.390790555555569</v>
      </c>
    </row>
    <row r="389" spans="1:4" x14ac:dyDescent="0.3">
      <c r="A389" t="s">
        <v>790</v>
      </c>
      <c r="B389" t="s">
        <v>791</v>
      </c>
      <c r="C389">
        <f t="shared" si="12"/>
        <v>23.851936388888891</v>
      </c>
      <c r="D389">
        <f t="shared" si="13"/>
        <v>90.400600833333343</v>
      </c>
    </row>
    <row r="390" spans="1:4" x14ac:dyDescent="0.3">
      <c r="A390" t="s">
        <v>792</v>
      </c>
      <c r="B390" t="s">
        <v>793</v>
      </c>
      <c r="C390">
        <f t="shared" si="12"/>
        <v>23.85210166666667</v>
      </c>
      <c r="D390">
        <f t="shared" si="13"/>
        <v>90.410411388888889</v>
      </c>
    </row>
    <row r="391" spans="1:4" x14ac:dyDescent="0.3">
      <c r="A391" t="s">
        <v>794</v>
      </c>
      <c r="B391" t="s">
        <v>795</v>
      </c>
      <c r="C391">
        <f t="shared" si="12"/>
        <v>23.852266388888889</v>
      </c>
      <c r="D391">
        <f t="shared" si="13"/>
        <v>90.420221944444449</v>
      </c>
    </row>
    <row r="392" spans="1:4" x14ac:dyDescent="0.3">
      <c r="A392" t="s">
        <v>796</v>
      </c>
      <c r="B392" t="s">
        <v>797</v>
      </c>
      <c r="C392">
        <f t="shared" si="12"/>
        <v>23.852430555555557</v>
      </c>
      <c r="D392">
        <f t="shared" si="13"/>
        <v>90.43003250000001</v>
      </c>
    </row>
    <row r="393" spans="1:4" x14ac:dyDescent="0.3">
      <c r="A393" t="s">
        <v>798</v>
      </c>
      <c r="B393" t="s">
        <v>799</v>
      </c>
      <c r="C393">
        <f t="shared" si="12"/>
        <v>23.85259388888889</v>
      </c>
      <c r="D393">
        <f t="shared" si="13"/>
        <v>90.439843333333343</v>
      </c>
    </row>
    <row r="394" spans="1:4" x14ac:dyDescent="0.3">
      <c r="A394" t="s">
        <v>800</v>
      </c>
      <c r="B394" t="s">
        <v>801</v>
      </c>
      <c r="C394">
        <f t="shared" si="12"/>
        <v>23.852756666666668</v>
      </c>
      <c r="D394">
        <f t="shared" si="13"/>
        <v>90.449654166666676</v>
      </c>
    </row>
    <row r="395" spans="1:4" x14ac:dyDescent="0.3">
      <c r="A395" t="s">
        <v>802</v>
      </c>
      <c r="B395" t="s">
        <v>803</v>
      </c>
      <c r="C395">
        <f t="shared" si="12"/>
        <v>23.85291888888889</v>
      </c>
      <c r="D395">
        <f t="shared" si="13"/>
        <v>90.459465000000009</v>
      </c>
    </row>
    <row r="396" spans="1:4" x14ac:dyDescent="0.3">
      <c r="A396" t="s">
        <v>804</v>
      </c>
      <c r="B396" t="s">
        <v>805</v>
      </c>
      <c r="C396">
        <f t="shared" si="12"/>
        <v>23.853080555555557</v>
      </c>
      <c r="D396">
        <f t="shared" si="13"/>
        <v>90.469276111111114</v>
      </c>
    </row>
    <row r="397" spans="1:4" x14ac:dyDescent="0.3">
      <c r="A397" t="s">
        <v>806</v>
      </c>
      <c r="B397" t="s">
        <v>807</v>
      </c>
      <c r="C397">
        <f t="shared" si="12"/>
        <v>23.85324138888889</v>
      </c>
      <c r="D397">
        <f t="shared" si="13"/>
        <v>90.479087222222219</v>
      </c>
    </row>
    <row r="398" spans="1:4" x14ac:dyDescent="0.3">
      <c r="A398" t="s">
        <v>808</v>
      </c>
      <c r="B398" t="s">
        <v>809</v>
      </c>
      <c r="C398">
        <f t="shared" si="12"/>
        <v>23.853401944444446</v>
      </c>
      <c r="D398">
        <f t="shared" si="13"/>
        <v>90.488898333333339</v>
      </c>
    </row>
    <row r="399" spans="1:4" x14ac:dyDescent="0.3">
      <c r="A399" t="s">
        <v>810</v>
      </c>
      <c r="B399" t="s">
        <v>811</v>
      </c>
      <c r="C399">
        <f t="shared" si="12"/>
        <v>23.853561666666668</v>
      </c>
      <c r="D399">
        <f t="shared" si="13"/>
        <v>90.498709444444444</v>
      </c>
    </row>
    <row r="400" spans="1:4" x14ac:dyDescent="0.3">
      <c r="A400" t="s">
        <v>812</v>
      </c>
      <c r="B400" t="s">
        <v>813</v>
      </c>
      <c r="C400">
        <f t="shared" si="12"/>
        <v>23.853720833333334</v>
      </c>
      <c r="D400">
        <f t="shared" si="13"/>
        <v>90.508520833333336</v>
      </c>
    </row>
    <row r="401" spans="1:4" x14ac:dyDescent="0.3">
      <c r="A401" t="s">
        <v>814</v>
      </c>
      <c r="B401" t="s">
        <v>815</v>
      </c>
      <c r="C401">
        <f t="shared" si="12"/>
        <v>23.859784166666667</v>
      </c>
      <c r="D401">
        <f t="shared" si="13"/>
        <v>90.33174527777777</v>
      </c>
    </row>
    <row r="402" spans="1:4" x14ac:dyDescent="0.3">
      <c r="A402" t="s">
        <v>816</v>
      </c>
      <c r="B402" t="s">
        <v>817</v>
      </c>
      <c r="C402">
        <f t="shared" si="12"/>
        <v>23.859953888888889</v>
      </c>
      <c r="D402">
        <f t="shared" si="13"/>
        <v>90.341555833333331</v>
      </c>
    </row>
    <row r="403" spans="1:4" x14ac:dyDescent="0.3">
      <c r="A403" t="s">
        <v>818</v>
      </c>
      <c r="B403" t="s">
        <v>819</v>
      </c>
      <c r="C403">
        <f t="shared" si="12"/>
        <v>23.860123055555558</v>
      </c>
      <c r="D403">
        <f t="shared" si="13"/>
        <v>90.351366388888877</v>
      </c>
    </row>
    <row r="404" spans="1:4" x14ac:dyDescent="0.3">
      <c r="A404" t="s">
        <v>820</v>
      </c>
      <c r="B404" t="s">
        <v>821</v>
      </c>
      <c r="C404">
        <f t="shared" si="12"/>
        <v>23.860291388888889</v>
      </c>
      <c r="D404">
        <f t="shared" si="13"/>
        <v>90.36117722222221</v>
      </c>
    </row>
    <row r="405" spans="1:4" x14ac:dyDescent="0.3">
      <c r="A405" t="s">
        <v>822</v>
      </c>
      <c r="B405" t="s">
        <v>823</v>
      </c>
      <c r="C405">
        <f t="shared" si="12"/>
        <v>23.860459444444444</v>
      </c>
      <c r="D405">
        <f t="shared" si="13"/>
        <v>90.370988055555543</v>
      </c>
    </row>
    <row r="406" spans="1:4" x14ac:dyDescent="0.3">
      <c r="A406" t="s">
        <v>824</v>
      </c>
      <c r="B406" t="s">
        <v>825</v>
      </c>
      <c r="C406">
        <f t="shared" si="12"/>
        <v>23.860626666666668</v>
      </c>
      <c r="D406">
        <f t="shared" si="13"/>
        <v>90.380798888888876</v>
      </c>
    </row>
    <row r="407" spans="1:4" x14ac:dyDescent="0.3">
      <c r="A407" t="s">
        <v>826</v>
      </c>
      <c r="B407" t="s">
        <v>827</v>
      </c>
      <c r="C407">
        <f t="shared" si="12"/>
        <v>23.860793333333334</v>
      </c>
      <c r="D407">
        <f t="shared" si="13"/>
        <v>90.390609722222223</v>
      </c>
    </row>
    <row r="408" spans="1:4" x14ac:dyDescent="0.3">
      <c r="A408" t="s">
        <v>828</v>
      </c>
      <c r="B408" t="s">
        <v>829</v>
      </c>
      <c r="C408">
        <f t="shared" si="12"/>
        <v>23.860959444444447</v>
      </c>
      <c r="D408">
        <f t="shared" si="13"/>
        <v>90.400420833333342</v>
      </c>
    </row>
    <row r="409" spans="1:4" x14ac:dyDescent="0.3">
      <c r="A409" t="s">
        <v>830</v>
      </c>
      <c r="B409" t="s">
        <v>831</v>
      </c>
      <c r="C409">
        <f t="shared" si="12"/>
        <v>23.861124722222225</v>
      </c>
      <c r="D409">
        <f t="shared" si="13"/>
        <v>90.410231944444448</v>
      </c>
    </row>
    <row r="410" spans="1:4" x14ac:dyDescent="0.3">
      <c r="A410" t="s">
        <v>832</v>
      </c>
      <c r="B410" t="s">
        <v>833</v>
      </c>
      <c r="C410">
        <f t="shared" si="12"/>
        <v>23.861289722222224</v>
      </c>
      <c r="D410">
        <f t="shared" si="13"/>
        <v>90.420043055555567</v>
      </c>
    </row>
    <row r="411" spans="1:4" x14ac:dyDescent="0.3">
      <c r="A411" t="s">
        <v>834</v>
      </c>
      <c r="B411" t="s">
        <v>835</v>
      </c>
      <c r="C411">
        <f t="shared" si="12"/>
        <v>23.861453888888889</v>
      </c>
      <c r="D411">
        <f t="shared" si="13"/>
        <v>90.429854444444445</v>
      </c>
    </row>
    <row r="412" spans="1:4" x14ac:dyDescent="0.3">
      <c r="A412" t="s">
        <v>836</v>
      </c>
      <c r="B412" t="s">
        <v>837</v>
      </c>
      <c r="C412">
        <f t="shared" si="12"/>
        <v>23.861617222222225</v>
      </c>
      <c r="D412">
        <f t="shared" si="13"/>
        <v>90.439665833333336</v>
      </c>
    </row>
    <row r="413" spans="1:4" x14ac:dyDescent="0.3">
      <c r="A413" t="s">
        <v>838</v>
      </c>
      <c r="B413" t="s">
        <v>839</v>
      </c>
      <c r="C413">
        <f t="shared" si="12"/>
        <v>23.861780277777779</v>
      </c>
      <c r="D413">
        <f t="shared" si="13"/>
        <v>90.4494775</v>
      </c>
    </row>
    <row r="414" spans="1:4" x14ac:dyDescent="0.3">
      <c r="A414" t="s">
        <v>840</v>
      </c>
      <c r="B414" t="s">
        <v>841</v>
      </c>
      <c r="C414">
        <f t="shared" si="12"/>
        <v>23.861942500000001</v>
      </c>
      <c r="D414">
        <f t="shared" si="13"/>
        <v>90.459288888888892</v>
      </c>
    </row>
    <row r="415" spans="1:4" x14ac:dyDescent="0.3">
      <c r="A415" t="s">
        <v>842</v>
      </c>
      <c r="B415" t="s">
        <v>843</v>
      </c>
      <c r="C415">
        <f t="shared" si="12"/>
        <v>23.862104166666668</v>
      </c>
      <c r="D415">
        <f t="shared" si="13"/>
        <v>90.469100555555556</v>
      </c>
    </row>
    <row r="416" spans="1:4" x14ac:dyDescent="0.3">
      <c r="A416" t="s">
        <v>844</v>
      </c>
      <c r="B416" t="s">
        <v>845</v>
      </c>
      <c r="C416">
        <f t="shared" si="12"/>
        <v>23.86226527777778</v>
      </c>
      <c r="D416">
        <f t="shared" si="13"/>
        <v>90.478912500000007</v>
      </c>
    </row>
    <row r="417" spans="1:4" x14ac:dyDescent="0.3">
      <c r="A417" t="s">
        <v>846</v>
      </c>
      <c r="B417" t="s">
        <v>847</v>
      </c>
      <c r="C417">
        <f t="shared" si="12"/>
        <v>23.862425555555557</v>
      </c>
      <c r="D417">
        <f t="shared" si="13"/>
        <v>90.488724166666671</v>
      </c>
    </row>
    <row r="418" spans="1:4" x14ac:dyDescent="0.3">
      <c r="A418" t="s">
        <v>848</v>
      </c>
      <c r="B418" t="s">
        <v>849</v>
      </c>
      <c r="C418">
        <f t="shared" si="12"/>
        <v>23.862585277777779</v>
      </c>
      <c r="D418">
        <f t="shared" si="13"/>
        <v>90.498536111111108</v>
      </c>
    </row>
    <row r="419" spans="1:4" x14ac:dyDescent="0.3">
      <c r="A419" t="s">
        <v>850</v>
      </c>
      <c r="B419" t="s">
        <v>851</v>
      </c>
      <c r="C419">
        <f t="shared" si="12"/>
        <v>23.862744444444445</v>
      </c>
      <c r="D419">
        <f t="shared" si="13"/>
        <v>90.508348055555558</v>
      </c>
    </row>
    <row r="420" spans="1:4" x14ac:dyDescent="0.3">
      <c r="A420" t="s">
        <v>852</v>
      </c>
      <c r="B420" t="s">
        <v>853</v>
      </c>
      <c r="C420">
        <f t="shared" si="12"/>
        <v>23.868806666666668</v>
      </c>
      <c r="D420">
        <f t="shared" si="13"/>
        <v>90.331560277777768</v>
      </c>
    </row>
    <row r="421" spans="1:4" x14ac:dyDescent="0.3">
      <c r="A421" t="s">
        <v>854</v>
      </c>
      <c r="B421" t="s">
        <v>855</v>
      </c>
      <c r="C421">
        <f t="shared" si="12"/>
        <v>23.868976388888889</v>
      </c>
      <c r="D421">
        <f t="shared" si="13"/>
        <v>90.34137166666666</v>
      </c>
    </row>
    <row r="422" spans="1:4" x14ac:dyDescent="0.3">
      <c r="A422" t="s">
        <v>856</v>
      </c>
      <c r="B422" t="s">
        <v>857</v>
      </c>
      <c r="C422">
        <f t="shared" si="12"/>
        <v>23.869145833333334</v>
      </c>
      <c r="D422">
        <f t="shared" si="13"/>
        <v>90.351182777777765</v>
      </c>
    </row>
    <row r="423" spans="1:4" x14ac:dyDescent="0.3">
      <c r="A423" t="s">
        <v>858</v>
      </c>
      <c r="B423" t="s">
        <v>859</v>
      </c>
      <c r="C423">
        <f t="shared" si="12"/>
        <v>23.869314444444445</v>
      </c>
      <c r="D423">
        <f t="shared" si="13"/>
        <v>90.360994166666657</v>
      </c>
    </row>
    <row r="424" spans="1:4" x14ac:dyDescent="0.3">
      <c r="A424" t="s">
        <v>860</v>
      </c>
      <c r="B424" t="s">
        <v>861</v>
      </c>
      <c r="C424">
        <f t="shared" si="12"/>
        <v>23.869482222222224</v>
      </c>
      <c r="D424">
        <f t="shared" si="13"/>
        <v>90.370805555555549</v>
      </c>
    </row>
    <row r="425" spans="1:4" x14ac:dyDescent="0.3">
      <c r="A425" t="s">
        <v>862</v>
      </c>
      <c r="B425" t="s">
        <v>863</v>
      </c>
      <c r="C425">
        <f t="shared" si="12"/>
        <v>23.869649722222224</v>
      </c>
      <c r="D425">
        <f t="shared" si="13"/>
        <v>90.380617222222213</v>
      </c>
    </row>
    <row r="426" spans="1:4" x14ac:dyDescent="0.3">
      <c r="A426" t="s">
        <v>864</v>
      </c>
      <c r="B426" t="s">
        <v>865</v>
      </c>
      <c r="C426">
        <f t="shared" si="12"/>
        <v>23.869816388888889</v>
      </c>
      <c r="D426">
        <f t="shared" si="13"/>
        <v>90.390428888888891</v>
      </c>
    </row>
    <row r="427" spans="1:4" x14ac:dyDescent="0.3">
      <c r="A427" t="s">
        <v>866</v>
      </c>
      <c r="B427" t="s">
        <v>867</v>
      </c>
      <c r="C427">
        <f t="shared" si="12"/>
        <v>23.869982499999999</v>
      </c>
      <c r="D427">
        <f t="shared" si="13"/>
        <v>90.400240555555555</v>
      </c>
    </row>
    <row r="428" spans="1:4" x14ac:dyDescent="0.3">
      <c r="A428" t="s">
        <v>868</v>
      </c>
      <c r="B428" t="s">
        <v>869</v>
      </c>
      <c r="C428">
        <f t="shared" si="12"/>
        <v>23.870148055555557</v>
      </c>
      <c r="D428">
        <f t="shared" si="13"/>
        <v>90.410052500000006</v>
      </c>
    </row>
    <row r="429" spans="1:4" x14ac:dyDescent="0.3">
      <c r="A429" t="s">
        <v>870</v>
      </c>
      <c r="B429" t="s">
        <v>871</v>
      </c>
      <c r="C429">
        <f t="shared" si="12"/>
        <v>23.870312777777777</v>
      </c>
      <c r="D429">
        <f t="shared" si="13"/>
        <v>90.41986416666667</v>
      </c>
    </row>
    <row r="430" spans="1:4" x14ac:dyDescent="0.3">
      <c r="A430" t="s">
        <v>872</v>
      </c>
      <c r="B430" t="s">
        <v>873</v>
      </c>
      <c r="C430">
        <f t="shared" si="12"/>
        <v>23.870476944444444</v>
      </c>
      <c r="D430">
        <f t="shared" si="13"/>
        <v>90.429676388888893</v>
      </c>
    </row>
    <row r="431" spans="1:4" x14ac:dyDescent="0.3">
      <c r="A431" t="s">
        <v>874</v>
      </c>
      <c r="B431" t="s">
        <v>875</v>
      </c>
      <c r="C431">
        <f t="shared" si="12"/>
        <v>23.870640555555557</v>
      </c>
      <c r="D431">
        <f t="shared" si="13"/>
        <v>90.439488333333344</v>
      </c>
    </row>
    <row r="432" spans="1:4" x14ac:dyDescent="0.3">
      <c r="A432" t="s">
        <v>876</v>
      </c>
      <c r="B432" t="s">
        <v>877</v>
      </c>
      <c r="C432">
        <f t="shared" si="12"/>
        <v>23.870803611111111</v>
      </c>
      <c r="D432">
        <f t="shared" si="13"/>
        <v>90.449300555555553</v>
      </c>
    </row>
    <row r="433" spans="1:4" x14ac:dyDescent="0.3">
      <c r="A433" t="s">
        <v>878</v>
      </c>
      <c r="B433" t="s">
        <v>879</v>
      </c>
      <c r="C433">
        <f t="shared" si="12"/>
        <v>23.870966111111112</v>
      </c>
      <c r="D433">
        <f t="shared" si="13"/>
        <v>90.459112777777776</v>
      </c>
    </row>
    <row r="434" spans="1:4" x14ac:dyDescent="0.3">
      <c r="A434" t="s">
        <v>880</v>
      </c>
      <c r="B434" t="s">
        <v>881</v>
      </c>
      <c r="C434">
        <f t="shared" si="12"/>
        <v>23.871127777777779</v>
      </c>
      <c r="D434">
        <f t="shared" si="13"/>
        <v>90.468925277777785</v>
      </c>
    </row>
    <row r="435" spans="1:4" x14ac:dyDescent="0.3">
      <c r="A435" t="s">
        <v>882</v>
      </c>
      <c r="B435" t="s">
        <v>883</v>
      </c>
      <c r="C435">
        <f t="shared" si="12"/>
        <v>23.871288888888888</v>
      </c>
      <c r="D435">
        <f t="shared" si="13"/>
        <v>90.478737500000008</v>
      </c>
    </row>
    <row r="436" spans="1:4" x14ac:dyDescent="0.3">
      <c r="A436" t="s">
        <v>884</v>
      </c>
      <c r="B436" t="s">
        <v>885</v>
      </c>
      <c r="C436">
        <f t="shared" si="12"/>
        <v>23.871449444444444</v>
      </c>
      <c r="D436">
        <f t="shared" si="13"/>
        <v>90.488550000000004</v>
      </c>
    </row>
    <row r="437" spans="1:4" x14ac:dyDescent="0.3">
      <c r="A437" t="s">
        <v>886</v>
      </c>
      <c r="B437" t="s">
        <v>887</v>
      </c>
      <c r="C437">
        <f t="shared" si="12"/>
        <v>23.871609166666666</v>
      </c>
      <c r="D437">
        <f t="shared" si="13"/>
        <v>90.498362777777785</v>
      </c>
    </row>
    <row r="438" spans="1:4" x14ac:dyDescent="0.3">
      <c r="A438" t="s">
        <v>888</v>
      </c>
      <c r="B438" t="s">
        <v>889</v>
      </c>
      <c r="C438">
        <f t="shared" si="12"/>
        <v>23.871768333333335</v>
      </c>
      <c r="D438">
        <f t="shared" si="13"/>
        <v>90.508175277777781</v>
      </c>
    </row>
    <row r="439" spans="1:4" x14ac:dyDescent="0.3">
      <c r="A439" t="s">
        <v>890</v>
      </c>
      <c r="B439" t="s">
        <v>891</v>
      </c>
      <c r="C439">
        <f t="shared" si="12"/>
        <v>23.877829166666668</v>
      </c>
      <c r="D439">
        <f t="shared" si="13"/>
        <v>90.331375277777781</v>
      </c>
    </row>
    <row r="440" spans="1:4" x14ac:dyDescent="0.3">
      <c r="A440" t="s">
        <v>892</v>
      </c>
      <c r="B440" t="s">
        <v>893</v>
      </c>
      <c r="C440">
        <f t="shared" si="12"/>
        <v>23.877999166666669</v>
      </c>
      <c r="D440">
        <f t="shared" si="13"/>
        <v>90.341187222222217</v>
      </c>
    </row>
    <row r="441" spans="1:4" x14ac:dyDescent="0.3">
      <c r="A441" t="s">
        <v>894</v>
      </c>
      <c r="B441" t="s">
        <v>895</v>
      </c>
      <c r="C441">
        <f t="shared" si="12"/>
        <v>23.878168611111111</v>
      </c>
      <c r="D441">
        <f t="shared" si="13"/>
        <v>90.350999166666668</v>
      </c>
    </row>
    <row r="442" spans="1:4" x14ac:dyDescent="0.3">
      <c r="A442" t="s">
        <v>896</v>
      </c>
      <c r="B442" t="s">
        <v>897</v>
      </c>
      <c r="C442">
        <f t="shared" si="12"/>
        <v>23.878337222222221</v>
      </c>
      <c r="D442">
        <f t="shared" si="13"/>
        <v>90.360811111111104</v>
      </c>
    </row>
    <row r="443" spans="1:4" x14ac:dyDescent="0.3">
      <c r="A443" t="s">
        <v>898</v>
      </c>
      <c r="B443" t="s">
        <v>899</v>
      </c>
      <c r="C443">
        <f t="shared" si="12"/>
        <v>23.87850527777778</v>
      </c>
      <c r="D443">
        <f t="shared" si="13"/>
        <v>90.370623333333327</v>
      </c>
    </row>
    <row r="444" spans="1:4" x14ac:dyDescent="0.3">
      <c r="A444" t="s">
        <v>900</v>
      </c>
      <c r="B444" t="s">
        <v>901</v>
      </c>
      <c r="C444">
        <f t="shared" si="12"/>
        <v>23.8786725</v>
      </c>
      <c r="D444">
        <f t="shared" si="13"/>
        <v>90.38043555555555</v>
      </c>
    </row>
    <row r="445" spans="1:4" x14ac:dyDescent="0.3">
      <c r="A445" t="s">
        <v>902</v>
      </c>
      <c r="B445" t="s">
        <v>903</v>
      </c>
      <c r="C445">
        <f t="shared" si="12"/>
        <v>23.878839444444445</v>
      </c>
      <c r="D445">
        <f t="shared" si="13"/>
        <v>90.390247777777788</v>
      </c>
    </row>
    <row r="446" spans="1:4" x14ac:dyDescent="0.3">
      <c r="A446" t="s">
        <v>904</v>
      </c>
      <c r="B446" t="s">
        <v>905</v>
      </c>
      <c r="C446">
        <f t="shared" si="12"/>
        <v>23.879005555555555</v>
      </c>
      <c r="D446">
        <f t="shared" si="13"/>
        <v>90.400060277777783</v>
      </c>
    </row>
    <row r="447" spans="1:4" x14ac:dyDescent="0.3">
      <c r="A447" t="s">
        <v>906</v>
      </c>
      <c r="B447" t="s">
        <v>907</v>
      </c>
      <c r="C447">
        <f t="shared" si="12"/>
        <v>23.879171111111113</v>
      </c>
      <c r="D447">
        <f t="shared" si="13"/>
        <v>90.409872777777778</v>
      </c>
    </row>
    <row r="448" spans="1:4" x14ac:dyDescent="0.3">
      <c r="A448" t="s">
        <v>908</v>
      </c>
      <c r="B448" t="s">
        <v>909</v>
      </c>
      <c r="C448">
        <f t="shared" si="12"/>
        <v>23.879336111111112</v>
      </c>
      <c r="D448">
        <f t="shared" si="13"/>
        <v>90.419685277777788</v>
      </c>
    </row>
    <row r="449" spans="1:4" x14ac:dyDescent="0.3">
      <c r="A449" t="s">
        <v>910</v>
      </c>
      <c r="B449" t="s">
        <v>911</v>
      </c>
      <c r="C449">
        <f t="shared" si="12"/>
        <v>23.87950027777778</v>
      </c>
      <c r="D449">
        <f t="shared" si="13"/>
        <v>90.429498055555555</v>
      </c>
    </row>
    <row r="450" spans="1:4" x14ac:dyDescent="0.3">
      <c r="A450" t="s">
        <v>912</v>
      </c>
      <c r="B450" t="s">
        <v>913</v>
      </c>
      <c r="C450">
        <f t="shared" si="12"/>
        <v>23.879664166666668</v>
      </c>
      <c r="D450">
        <f t="shared" si="13"/>
        <v>90.439310833333337</v>
      </c>
    </row>
    <row r="451" spans="1:4" x14ac:dyDescent="0.3">
      <c r="A451" t="s">
        <v>914</v>
      </c>
      <c r="B451" t="s">
        <v>915</v>
      </c>
      <c r="C451">
        <f t="shared" ref="C451:C495" si="14">DecimalDegreesConverter(A451,,,,TRUE)</f>
        <v>23.879827222222222</v>
      </c>
      <c r="D451">
        <f t="shared" ref="D451:D495" si="15">DecimalDegreesConverter(B451,,,,TRUE)</f>
        <v>90.449123611111119</v>
      </c>
    </row>
    <row r="452" spans="1:4" x14ac:dyDescent="0.3">
      <c r="A452" t="s">
        <v>916</v>
      </c>
      <c r="B452" t="s">
        <v>917</v>
      </c>
      <c r="C452">
        <f t="shared" si="14"/>
        <v>23.879989444444444</v>
      </c>
      <c r="D452">
        <f t="shared" si="15"/>
        <v>90.458936666666673</v>
      </c>
    </row>
    <row r="453" spans="1:4" x14ac:dyDescent="0.3">
      <c r="A453" t="s">
        <v>918</v>
      </c>
      <c r="B453" t="s">
        <v>919</v>
      </c>
      <c r="C453">
        <f t="shared" si="14"/>
        <v>23.880151388888891</v>
      </c>
      <c r="D453">
        <f t="shared" si="15"/>
        <v>90.468749444444441</v>
      </c>
    </row>
    <row r="454" spans="1:4" x14ac:dyDescent="0.3">
      <c r="A454" t="s">
        <v>920</v>
      </c>
      <c r="B454" t="s">
        <v>921</v>
      </c>
      <c r="C454">
        <f t="shared" si="14"/>
        <v>23.880312499999999</v>
      </c>
      <c r="D454">
        <f t="shared" si="15"/>
        <v>90.478562777777782</v>
      </c>
    </row>
    <row r="455" spans="1:4" x14ac:dyDescent="0.3">
      <c r="A455" t="s">
        <v>922</v>
      </c>
      <c r="B455" t="s">
        <v>923</v>
      </c>
      <c r="C455">
        <f t="shared" si="14"/>
        <v>23.880473055555555</v>
      </c>
      <c r="D455">
        <f t="shared" si="15"/>
        <v>90.488375833333336</v>
      </c>
    </row>
    <row r="456" spans="1:4" x14ac:dyDescent="0.3">
      <c r="A456" t="s">
        <v>924</v>
      </c>
      <c r="B456" t="s">
        <v>925</v>
      </c>
      <c r="C456">
        <f t="shared" si="14"/>
        <v>23.880633055555556</v>
      </c>
      <c r="D456">
        <f t="shared" si="15"/>
        <v>90.498189166666663</v>
      </c>
    </row>
    <row r="457" spans="1:4" x14ac:dyDescent="0.3">
      <c r="A457" t="s">
        <v>926</v>
      </c>
      <c r="B457" t="s">
        <v>927</v>
      </c>
      <c r="C457">
        <f t="shared" si="14"/>
        <v>23.880792222222222</v>
      </c>
      <c r="D457">
        <f t="shared" si="15"/>
        <v>90.508002500000003</v>
      </c>
    </row>
    <row r="458" spans="1:4" x14ac:dyDescent="0.3">
      <c r="A458" t="s">
        <v>928</v>
      </c>
      <c r="B458" t="s">
        <v>929</v>
      </c>
      <c r="C458">
        <f t="shared" si="14"/>
        <v>23.886851944444444</v>
      </c>
      <c r="D458">
        <f t="shared" si="15"/>
        <v>90.331189999999992</v>
      </c>
    </row>
    <row r="459" spans="1:4" x14ac:dyDescent="0.3">
      <c r="A459" t="s">
        <v>930</v>
      </c>
      <c r="B459" t="s">
        <v>931</v>
      </c>
      <c r="C459">
        <f t="shared" si="14"/>
        <v>23.887021944444445</v>
      </c>
      <c r="D459">
        <f t="shared" si="15"/>
        <v>90.341002777777774</v>
      </c>
    </row>
    <row r="460" spans="1:4" x14ac:dyDescent="0.3">
      <c r="A460" t="s">
        <v>932</v>
      </c>
      <c r="B460" t="s">
        <v>933</v>
      </c>
      <c r="C460">
        <f t="shared" si="14"/>
        <v>23.887191111111111</v>
      </c>
      <c r="D460">
        <f t="shared" si="15"/>
        <v>90.35081527777777</v>
      </c>
    </row>
    <row r="461" spans="1:4" x14ac:dyDescent="0.3">
      <c r="A461" t="s">
        <v>934</v>
      </c>
      <c r="B461" t="s">
        <v>935</v>
      </c>
      <c r="C461">
        <f t="shared" si="14"/>
        <v>23.887360000000001</v>
      </c>
      <c r="D461">
        <f t="shared" si="15"/>
        <v>90.360628055555551</v>
      </c>
    </row>
    <row r="462" spans="1:4" x14ac:dyDescent="0.3">
      <c r="A462" t="s">
        <v>936</v>
      </c>
      <c r="B462" t="s">
        <v>937</v>
      </c>
      <c r="C462">
        <f t="shared" si="14"/>
        <v>23.887528055555556</v>
      </c>
      <c r="D462">
        <f t="shared" si="15"/>
        <v>90.370440833333333</v>
      </c>
    </row>
    <row r="463" spans="1:4" x14ac:dyDescent="0.3">
      <c r="A463" t="s">
        <v>938</v>
      </c>
      <c r="B463" t="s">
        <v>939</v>
      </c>
      <c r="C463">
        <f t="shared" si="14"/>
        <v>23.887695555555556</v>
      </c>
      <c r="D463">
        <f t="shared" si="15"/>
        <v>90.380253888888888</v>
      </c>
    </row>
    <row r="464" spans="1:4" x14ac:dyDescent="0.3">
      <c r="A464" t="s">
        <v>940</v>
      </c>
      <c r="B464" t="s">
        <v>941</v>
      </c>
      <c r="C464">
        <f t="shared" si="14"/>
        <v>23.887862500000001</v>
      </c>
      <c r="D464">
        <f t="shared" si="15"/>
        <v>90.390066666666669</v>
      </c>
    </row>
    <row r="465" spans="1:4" x14ac:dyDescent="0.3">
      <c r="A465" t="s">
        <v>942</v>
      </c>
      <c r="B465" t="s">
        <v>943</v>
      </c>
      <c r="C465">
        <f t="shared" si="14"/>
        <v>23.88802861111111</v>
      </c>
      <c r="D465">
        <f t="shared" si="15"/>
        <v>90.399879722222224</v>
      </c>
    </row>
    <row r="466" spans="1:4" x14ac:dyDescent="0.3">
      <c r="A466" t="s">
        <v>944</v>
      </c>
      <c r="B466" t="s">
        <v>945</v>
      </c>
      <c r="C466">
        <f t="shared" si="14"/>
        <v>23.888194166666665</v>
      </c>
      <c r="D466">
        <f t="shared" si="15"/>
        <v>90.409693055555564</v>
      </c>
    </row>
    <row r="467" spans="1:4" x14ac:dyDescent="0.3">
      <c r="A467" t="s">
        <v>946</v>
      </c>
      <c r="B467" t="s">
        <v>947</v>
      </c>
      <c r="C467">
        <f t="shared" si="14"/>
        <v>23.888359166666667</v>
      </c>
      <c r="D467">
        <f t="shared" si="15"/>
        <v>90.419506388888891</v>
      </c>
    </row>
    <row r="468" spans="1:4" x14ac:dyDescent="0.3">
      <c r="A468" t="s">
        <v>948</v>
      </c>
      <c r="B468" t="s">
        <v>949</v>
      </c>
      <c r="C468">
        <f t="shared" si="14"/>
        <v>23.888523611111111</v>
      </c>
      <c r="D468">
        <f t="shared" si="15"/>
        <v>90.429319722222232</v>
      </c>
    </row>
    <row r="469" spans="1:4" x14ac:dyDescent="0.3">
      <c r="A469" t="s">
        <v>950</v>
      </c>
      <c r="B469" t="s">
        <v>951</v>
      </c>
      <c r="C469">
        <f t="shared" si="14"/>
        <v>23.8886875</v>
      </c>
      <c r="D469">
        <f t="shared" si="15"/>
        <v>90.439133055555558</v>
      </c>
    </row>
    <row r="470" spans="1:4" x14ac:dyDescent="0.3">
      <c r="A470" t="s">
        <v>952</v>
      </c>
      <c r="B470" t="s">
        <v>953</v>
      </c>
      <c r="C470">
        <f t="shared" si="14"/>
        <v>23.888850555555557</v>
      </c>
      <c r="D470">
        <f t="shared" si="15"/>
        <v>90.448946666666671</v>
      </c>
    </row>
    <row r="471" spans="1:4" x14ac:dyDescent="0.3">
      <c r="A471" t="s">
        <v>954</v>
      </c>
      <c r="B471" t="s">
        <v>955</v>
      </c>
      <c r="C471">
        <f t="shared" si="14"/>
        <v>23.889013055555555</v>
      </c>
      <c r="D471">
        <f t="shared" si="15"/>
        <v>90.458760277777785</v>
      </c>
    </row>
    <row r="472" spans="1:4" x14ac:dyDescent="0.3">
      <c r="A472" t="s">
        <v>956</v>
      </c>
      <c r="B472" t="s">
        <v>957</v>
      </c>
      <c r="C472">
        <f t="shared" si="14"/>
        <v>23.889174999999998</v>
      </c>
      <c r="D472">
        <f t="shared" si="15"/>
        <v>90.468573888888898</v>
      </c>
    </row>
    <row r="473" spans="1:4" x14ac:dyDescent="0.3">
      <c r="A473" t="s">
        <v>958</v>
      </c>
      <c r="B473" t="s">
        <v>959</v>
      </c>
      <c r="C473">
        <f t="shared" si="14"/>
        <v>23.88933611111111</v>
      </c>
      <c r="D473">
        <f t="shared" si="15"/>
        <v>90.478387777777783</v>
      </c>
    </row>
    <row r="474" spans="1:4" x14ac:dyDescent="0.3">
      <c r="A474" t="s">
        <v>960</v>
      </c>
      <c r="B474" t="s">
        <v>961</v>
      </c>
      <c r="C474">
        <f t="shared" si="14"/>
        <v>23.889496666666666</v>
      </c>
      <c r="D474">
        <f t="shared" si="15"/>
        <v>90.488201666666669</v>
      </c>
    </row>
    <row r="475" spans="1:4" x14ac:dyDescent="0.3">
      <c r="A475" t="s">
        <v>962</v>
      </c>
      <c r="B475" t="s">
        <v>963</v>
      </c>
      <c r="C475">
        <f t="shared" si="14"/>
        <v>23.889656666666667</v>
      </c>
      <c r="D475">
        <f t="shared" si="15"/>
        <v>90.498015555555554</v>
      </c>
    </row>
    <row r="476" spans="1:4" x14ac:dyDescent="0.3">
      <c r="A476" t="s">
        <v>964</v>
      </c>
      <c r="B476" t="s">
        <v>965</v>
      </c>
      <c r="C476">
        <f t="shared" si="14"/>
        <v>23.889816111111109</v>
      </c>
      <c r="D476">
        <f t="shared" si="15"/>
        <v>90.50782944444444</v>
      </c>
    </row>
    <row r="477" spans="1:4" x14ac:dyDescent="0.3">
      <c r="A477" t="s">
        <v>966</v>
      </c>
      <c r="B477" t="s">
        <v>967</v>
      </c>
      <c r="C477">
        <f t="shared" si="14"/>
        <v>23.895874444444445</v>
      </c>
      <c r="D477">
        <f t="shared" si="15"/>
        <v>90.33100499999999</v>
      </c>
    </row>
    <row r="478" spans="1:4" x14ac:dyDescent="0.3">
      <c r="A478" t="s">
        <v>968</v>
      </c>
      <c r="B478" t="s">
        <v>969</v>
      </c>
      <c r="C478">
        <f t="shared" si="14"/>
        <v>23.896044444444446</v>
      </c>
      <c r="D478">
        <f t="shared" si="15"/>
        <v>90.340818055555545</v>
      </c>
    </row>
    <row r="479" spans="1:4" x14ac:dyDescent="0.3">
      <c r="A479" t="s">
        <v>970</v>
      </c>
      <c r="B479" t="s">
        <v>971</v>
      </c>
      <c r="C479">
        <f t="shared" si="14"/>
        <v>23.896213888888887</v>
      </c>
      <c r="D479">
        <f t="shared" si="15"/>
        <v>90.350631388888885</v>
      </c>
    </row>
    <row r="480" spans="1:4" x14ac:dyDescent="0.3">
      <c r="A480" t="s">
        <v>972</v>
      </c>
      <c r="B480" t="s">
        <v>973</v>
      </c>
      <c r="C480">
        <f t="shared" si="14"/>
        <v>23.896382777777777</v>
      </c>
      <c r="D480">
        <f t="shared" si="15"/>
        <v>90.360444722222212</v>
      </c>
    </row>
    <row r="481" spans="1:4" x14ac:dyDescent="0.3">
      <c r="A481" t="s">
        <v>974</v>
      </c>
      <c r="B481" t="s">
        <v>975</v>
      </c>
      <c r="C481">
        <f t="shared" si="14"/>
        <v>23.896550833333333</v>
      </c>
      <c r="D481">
        <f t="shared" si="15"/>
        <v>90.370258333333325</v>
      </c>
    </row>
    <row r="482" spans="1:4" x14ac:dyDescent="0.3">
      <c r="A482" t="s">
        <v>976</v>
      </c>
      <c r="B482" t="s">
        <v>977</v>
      </c>
      <c r="C482">
        <f t="shared" si="14"/>
        <v>23.896718611111112</v>
      </c>
      <c r="D482">
        <f t="shared" si="15"/>
        <v>90.380071944444438</v>
      </c>
    </row>
    <row r="483" spans="1:4" x14ac:dyDescent="0.3">
      <c r="A483" t="s">
        <v>978</v>
      </c>
      <c r="B483" t="s">
        <v>979</v>
      </c>
      <c r="C483">
        <f t="shared" si="14"/>
        <v>23.896885555555556</v>
      </c>
      <c r="D483">
        <f t="shared" si="15"/>
        <v>90.389885555555566</v>
      </c>
    </row>
    <row r="484" spans="1:4" x14ac:dyDescent="0.3">
      <c r="A484" t="s">
        <v>980</v>
      </c>
      <c r="B484" t="s">
        <v>981</v>
      </c>
      <c r="C484">
        <f t="shared" si="14"/>
        <v>23.897051666666666</v>
      </c>
      <c r="D484">
        <f t="shared" si="15"/>
        <v>90.399699444444451</v>
      </c>
    </row>
    <row r="485" spans="1:4" x14ac:dyDescent="0.3">
      <c r="A485" t="s">
        <v>982</v>
      </c>
      <c r="B485" t="s">
        <v>983</v>
      </c>
      <c r="C485">
        <f t="shared" si="14"/>
        <v>23.8972175</v>
      </c>
      <c r="D485">
        <f t="shared" si="15"/>
        <v>90.409513055555564</v>
      </c>
    </row>
    <row r="486" spans="1:4" x14ac:dyDescent="0.3">
      <c r="A486" t="s">
        <v>984</v>
      </c>
      <c r="B486" t="s">
        <v>985</v>
      </c>
      <c r="C486">
        <f t="shared" si="14"/>
        <v>23.897382499999999</v>
      </c>
      <c r="D486">
        <f t="shared" si="15"/>
        <v>90.419327222222222</v>
      </c>
    </row>
    <row r="487" spans="1:4" x14ac:dyDescent="0.3">
      <c r="A487" t="s">
        <v>986</v>
      </c>
      <c r="B487" t="s">
        <v>987</v>
      </c>
      <c r="C487">
        <f t="shared" si="14"/>
        <v>23.897546944444443</v>
      </c>
      <c r="D487">
        <f t="shared" si="15"/>
        <v>90.429141111111122</v>
      </c>
    </row>
    <row r="488" spans="1:4" x14ac:dyDescent="0.3">
      <c r="A488" t="s">
        <v>988</v>
      </c>
      <c r="B488" t="s">
        <v>989</v>
      </c>
      <c r="C488">
        <f t="shared" si="14"/>
        <v>23.897710833333331</v>
      </c>
      <c r="D488">
        <f t="shared" si="15"/>
        <v>90.438955277777779</v>
      </c>
    </row>
    <row r="489" spans="1:4" x14ac:dyDescent="0.3">
      <c r="A489" t="s">
        <v>990</v>
      </c>
      <c r="B489" t="s">
        <v>991</v>
      </c>
      <c r="C489">
        <f t="shared" si="14"/>
        <v>23.897873888888888</v>
      </c>
      <c r="D489">
        <f t="shared" si="15"/>
        <v>90.448769444444451</v>
      </c>
    </row>
    <row r="490" spans="1:4" x14ac:dyDescent="0.3">
      <c r="A490" t="s">
        <v>992</v>
      </c>
      <c r="B490" t="s">
        <v>993</v>
      </c>
      <c r="C490">
        <f t="shared" si="14"/>
        <v>23.898036388888887</v>
      </c>
      <c r="D490">
        <f t="shared" si="15"/>
        <v>90.458583888888896</v>
      </c>
    </row>
    <row r="491" spans="1:4" x14ac:dyDescent="0.3">
      <c r="A491" t="s">
        <v>994</v>
      </c>
      <c r="B491" t="s">
        <v>995</v>
      </c>
      <c r="C491">
        <f t="shared" si="14"/>
        <v>23.898198333333333</v>
      </c>
      <c r="D491">
        <f t="shared" si="15"/>
        <v>90.468398055555554</v>
      </c>
    </row>
    <row r="492" spans="1:4" x14ac:dyDescent="0.3">
      <c r="A492" t="s">
        <v>996</v>
      </c>
      <c r="B492" t="s">
        <v>997</v>
      </c>
      <c r="C492">
        <f t="shared" si="14"/>
        <v>23.898359722222221</v>
      </c>
      <c r="D492">
        <f t="shared" si="15"/>
        <v>90.478212499999998</v>
      </c>
    </row>
    <row r="493" spans="1:4" x14ac:dyDescent="0.3">
      <c r="A493" t="s">
        <v>998</v>
      </c>
      <c r="B493" t="s">
        <v>999</v>
      </c>
      <c r="C493">
        <f t="shared" si="14"/>
        <v>23.898520555555557</v>
      </c>
      <c r="D493">
        <f t="shared" si="15"/>
        <v>90.488027222222229</v>
      </c>
    </row>
    <row r="494" spans="1:4" x14ac:dyDescent="0.3">
      <c r="A494" t="s">
        <v>1000</v>
      </c>
      <c r="B494" t="s">
        <v>1001</v>
      </c>
      <c r="C494">
        <f t="shared" si="14"/>
        <v>23.898680555555554</v>
      </c>
      <c r="D494">
        <f t="shared" si="15"/>
        <v>90.497841944444446</v>
      </c>
    </row>
    <row r="495" spans="1:4" x14ac:dyDescent="0.3">
      <c r="A495" t="s">
        <v>1002</v>
      </c>
      <c r="B495" t="s">
        <v>1003</v>
      </c>
      <c r="C495">
        <f t="shared" si="14"/>
        <v>23.89884</v>
      </c>
      <c r="D495">
        <f t="shared" si="15"/>
        <v>90.507656666666662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Cases</vt:lpstr>
      <vt:lpstr>DMS_3Cells</vt:lpstr>
      <vt:lpstr>DMS_Formatted</vt:lpstr>
      <vt:lpstr>DMS_Separator</vt:lpstr>
      <vt:lpstr>DMS_Hotchpotch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2021-05-13T04:29:34Z</dcterms:created>
  <dcterms:modified xsi:type="dcterms:W3CDTF">2021-05-15T09:45:31Z</dcterms:modified>
</cp:coreProperties>
</file>